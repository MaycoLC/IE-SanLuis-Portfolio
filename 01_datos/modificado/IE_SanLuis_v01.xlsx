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6440" tabRatio="600" firstSheet="0" activeTab="1" autoFilterDateGrouping="1"/>
  </bookViews>
  <sheets>
    <sheet xmlns:r="http://schemas.openxmlformats.org/officeDocument/2006/relationships" name="Datos base" sheetId="1" state="visible" r:id="rId1"/>
    <sheet xmlns:r="http://schemas.openxmlformats.org/officeDocument/2006/relationships" name="Indicadores" sheetId="2" state="visible" r:id="rId2"/>
    <sheet xmlns:r="http://schemas.openxmlformats.org/officeDocument/2006/relationships" name="Datos_largo" sheetId="3" state="visible" r:id="rId3"/>
  </sheets>
  <definedNames>
    <definedName name="DatosExternos_1" localSheetId="2" hidden="1">Datos_largo!$A$1:$D$51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+0;-0;0"/>
    <numFmt numFmtId="165" formatCode="0.0"/>
  </numFmts>
  <fonts count="17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Calibri"/>
      <family val="2"/>
      <color rgb="FF000000"/>
      <sz val="9"/>
    </font>
    <font>
      <name val="Arial"/>
      <family val="2"/>
      <color theme="1"/>
      <sz val="10"/>
    </font>
    <font>
      <name val="Arial"/>
      <family val="2"/>
      <b val="1"/>
      <color rgb="FFFFFFFF"/>
      <sz val="12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i val="1"/>
      <color rgb="FF666666"/>
      <sz val="9"/>
    </font>
    <font>
      <name val="Arial"/>
      <family val="2"/>
      <b val="1"/>
      <color rgb="FFFFFFFF"/>
      <sz val="10"/>
    </font>
    <font>
      <name val="Arial"/>
      <family val="2"/>
      <b val="1"/>
      <sz val="10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</fonts>
  <fills count="16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1A3A5C"/>
      </patternFill>
    </fill>
    <fill>
      <patternFill patternType="solid">
        <fgColor rgb="FF2E6DA4"/>
      </patternFill>
    </fill>
    <fill>
      <patternFill patternType="solid">
        <fgColor rgb="FF1A6B3A"/>
      </patternFill>
    </fill>
    <fill>
      <patternFill patternType="solid">
        <fgColor rgb="FFE67E22"/>
      </patternFill>
    </fill>
    <fill>
      <patternFill patternType="solid">
        <fgColor rgb="FFD6E4F0"/>
      </patternFill>
    </fill>
    <fill>
      <patternFill patternType="solid">
        <fgColor rgb="FFF5F5F5"/>
      </patternFill>
    </fill>
    <fill>
      <patternFill patternType="solid">
        <fgColor rgb="001A3A5C"/>
      </patternFill>
    </fill>
    <fill>
      <patternFill patternType="solid">
        <fgColor rgb="002E6DA4"/>
      </patternFill>
    </fill>
    <fill>
      <patternFill patternType="solid">
        <fgColor rgb="001A6B3A"/>
      </patternFill>
    </fill>
    <fill>
      <patternFill patternType="solid">
        <fgColor rgb="00E67E22"/>
      </patternFill>
    </fill>
    <fill>
      <patternFill patternType="solid">
        <fgColor rgb="00D6E4F0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49" fontId="3" fillId="0" borderId="2" applyAlignment="1" pivotButton="0" quotePrefix="0" xfId="0">
      <alignment vertical="center" wrapText="1"/>
    </xf>
    <xf numFmtId="49" fontId="3" fillId="0" borderId="2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left"/>
    </xf>
    <xf numFmtId="49" fontId="6" fillId="2" borderId="1" applyAlignment="1" applyProtection="1" pivotButton="0" quotePrefix="0" xfId="0">
      <alignment horizontal="right" vertical="center" wrapText="1"/>
      <protection locked="0" hidden="0"/>
    </xf>
    <xf numFmtId="49" fontId="3" fillId="0" borderId="0" applyAlignment="1" pivotButton="0" quotePrefix="0" xfId="0">
      <alignment horizontal="left"/>
    </xf>
    <xf numFmtId="49" fontId="7" fillId="2" borderId="1" applyAlignment="1" pivotButton="0" quotePrefix="0" xfId="0">
      <alignment horizontal="right" vertical="center"/>
    </xf>
    <xf numFmtId="49" fontId="3" fillId="0" borderId="0" applyAlignment="1" pivotButton="0" quotePrefix="0" xfId="0">
      <alignment horizontal="left"/>
    </xf>
    <xf numFmtId="49" fontId="7" fillId="2" borderId="3" applyAlignment="1" pivotButton="0" quotePrefix="0" xfId="0">
      <alignment horizontal="right" vertical="center"/>
    </xf>
    <xf numFmtId="49" fontId="0" fillId="0" borderId="0" pivotButton="0" quotePrefix="0" xfId="0"/>
    <xf numFmtId="0" fontId="0" fillId="0" borderId="0" pivotButton="0" quotePrefix="0" xfId="0"/>
    <xf numFmtId="49" fontId="4" fillId="3" borderId="0" applyAlignment="1" pivotButton="0" quotePrefix="0" xfId="0">
      <alignment horizontal="center" vertical="center" wrapText="1"/>
    </xf>
    <xf numFmtId="49" fontId="0" fillId="0" borderId="0" pivotButton="0" quotePrefix="0" xfId="0"/>
    <xf numFmtId="0" fontId="0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9" fillId="4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left" vertical="center"/>
    </xf>
    <xf numFmtId="0" fontId="7" fillId="8" borderId="4" applyAlignment="1" pivotButton="0" quotePrefix="0" xfId="0">
      <alignment horizontal="center" vertical="center" wrapText="1"/>
    </xf>
    <xf numFmtId="0" fontId="7" fillId="8" borderId="4" applyAlignment="1" pivotButton="0" quotePrefix="0" xfId="0">
      <alignment horizontal="left" vertical="center"/>
    </xf>
    <xf numFmtId="0" fontId="7" fillId="2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left" vertical="center"/>
    </xf>
    <xf numFmtId="49" fontId="0" fillId="0" borderId="0" pivotButton="0" quotePrefix="1" xfId="0"/>
    <xf numFmtId="49" fontId="7" fillId="2" borderId="1" applyAlignment="1" pivotButton="0" quotePrefix="0" xfId="0">
      <alignment horizontal="right" vertical="center" wrapText="1"/>
    </xf>
    <xf numFmtId="0" fontId="0" fillId="0" borderId="0" pivotButton="0" quotePrefix="0" xfId="0"/>
    <xf numFmtId="0" fontId="4" fillId="3" borderId="5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10" borderId="6" applyAlignment="1" pivotButton="0" quotePrefix="0" xfId="0">
      <alignment horizontal="center" vertical="center" wrapText="1"/>
    </xf>
    <xf numFmtId="0" fontId="13" fillId="11" borderId="6" applyAlignment="1" pivotButton="0" quotePrefix="0" xfId="0">
      <alignment horizontal="center" vertical="center" wrapText="1"/>
    </xf>
    <xf numFmtId="0" fontId="13" fillId="12" borderId="6" applyAlignment="1" pivotButton="0" quotePrefix="0" xfId="0">
      <alignment horizontal="center" vertical="center" wrapText="1"/>
    </xf>
    <xf numFmtId="0" fontId="14" fillId="13" borderId="6" applyAlignment="1" pivotButton="0" quotePrefix="0" xfId="0">
      <alignment horizontal="center" vertical="center"/>
    </xf>
    <xf numFmtId="0" fontId="14" fillId="13" borderId="6" applyAlignment="1" pivotButton="0" quotePrefix="0" xfId="0">
      <alignment horizontal="left" vertical="center"/>
    </xf>
    <xf numFmtId="164" fontId="14" fillId="13" borderId="6" applyAlignment="1" pivotButton="0" quotePrefix="0" xfId="0">
      <alignment horizontal="center" vertical="center"/>
    </xf>
    <xf numFmtId="165" fontId="14" fillId="13" borderId="6" applyAlignment="1" pivotButton="0" quotePrefix="0" xfId="0">
      <alignment horizontal="center" vertical="center"/>
    </xf>
    <xf numFmtId="0" fontId="15" fillId="14" borderId="6" applyAlignment="1" pivotButton="0" quotePrefix="0" xfId="0">
      <alignment horizontal="center" vertical="center"/>
    </xf>
    <xf numFmtId="0" fontId="15" fillId="14" borderId="6" applyAlignment="1" pivotButton="0" quotePrefix="0" xfId="0">
      <alignment horizontal="left" vertical="center"/>
    </xf>
    <xf numFmtId="164" fontId="15" fillId="14" borderId="6" applyAlignment="1" pivotButton="0" quotePrefix="0" xfId="0">
      <alignment horizontal="center" vertical="center"/>
    </xf>
    <xf numFmtId="165" fontId="15" fillId="14" borderId="6" applyAlignment="1" pivotButton="0" quotePrefix="0" xfId="0">
      <alignment horizontal="center" vertical="center"/>
    </xf>
    <xf numFmtId="0" fontId="15" fillId="15" borderId="6" applyAlignment="1" pivotButton="0" quotePrefix="0" xfId="0">
      <alignment horizontal="center" vertical="center"/>
    </xf>
    <xf numFmtId="0" fontId="15" fillId="15" borderId="6" applyAlignment="1" pivotButton="0" quotePrefix="0" xfId="0">
      <alignment horizontal="left" vertical="center"/>
    </xf>
    <xf numFmtId="164" fontId="15" fillId="15" borderId="6" applyAlignment="1" pivotButton="0" quotePrefix="0" xfId="0">
      <alignment horizontal="center" vertical="center"/>
    </xf>
    <xf numFmtId="165" fontId="15" fillId="15" borderId="6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</cellXfs>
  <cellStyles count="1">
    <cellStyle name="Normal" xfId="0" builtinId="0"/>
  </cellStyles>
  <dxfs count="12"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numFmt numFmtId="30" formatCode="@"/>
      <fill>
        <patternFill patternType="solid">
          <fgColor indexed="64"/>
          <bgColor rgb="FFFFFFFF"/>
        </patternFill>
      </fill>
      <alignment horizontal="right" vertical="center"/>
      <border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numFmt numFmtId="30" formatCode="@"/>
      <fill>
        <patternFill patternType="solid">
          <fgColor indexed="64"/>
          <bgColor rgb="FFFFFFFF"/>
        </patternFill>
      </fill>
      <alignment horizontal="right" vertical="center"/>
      <border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numFmt numFmtId="30" formatCode="@"/>
      <fill>
        <patternFill patternType="solid">
          <fgColor indexed="64"/>
          <bgColor rgb="FFFFFFFF"/>
        </patternFill>
      </fill>
      <alignment horizontal="right" vertical="center"/>
      <border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numFmt numFmtId="30" formatCode="@"/>
      <fill>
        <patternFill patternType="solid">
          <fgColor indexed="64"/>
          <bgColor rgb="FFFFFFFF"/>
        </patternFill>
      </fill>
      <alignment horizontal="right" vertical="center"/>
      <border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numFmt numFmtId="30" formatCode="@"/>
      <fill>
        <patternFill patternType="solid">
          <fgColor indexed="64"/>
          <bgColor rgb="FFFFFFFF"/>
        </patternFill>
      </fill>
      <alignment horizontal="right" vertical="center"/>
      <border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left" vertical="bottom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left" vertical="bottom"/>
    </dxf>
    <dxf>
      <border outline="0">
        <top style="thin">
          <color rgb="FF000000"/>
        </top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numFmt numFmtId="30" formatCode="@"/>
      <fill>
        <patternFill patternType="solid">
          <fgColor indexed="64"/>
          <bgColor rgb="FFFFFFFF"/>
        </patternFill>
      </fill>
      <alignment horizontal="right" vertical="center"/>
    </dxf>
    <dxf>
      <border outline="0">
        <bottom style="thin">
          <color rgb="FF000000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alignment horizontal="center" vertical="center" wrapText="1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_datos_base" displayName="tbl_datos_base" ref="A2:G12" headerRowCount="1" totalsRowShown="0" headerRowDxfId="10" dataDxfId="8" headerRowBorderDxfId="9" tableBorderDxfId="7">
  <autoFilter ref="A2:G12"/>
  <tableColumns count="7">
    <tableColumn id="1" name="Código" dataDxfId="6"/>
    <tableColumn id="2" name="Departamento" dataDxfId="5"/>
    <tableColumn id="3" name="1980" dataDxfId="4"/>
    <tableColumn id="4" name="1991" dataDxfId="3"/>
    <tableColumn id="5" name="2001" dataDxfId="2"/>
    <tableColumn id="6" name="2010" dataDxfId="1"/>
    <tableColumn id="7" name="2022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datos_base_2" displayName="tbl_datos_base_2" ref="A1:D51" tableType="queryTable" headerRowCount="1" totalsRowShown="0">
  <autoFilter ref="A1:D51"/>
  <tableColumns count="4">
    <tableColumn id="1" uniqueName="1" name="Código" queryTableFieldId="1"/>
    <tableColumn id="2" uniqueName="2" name="Departamento" queryTableFieldId="2"/>
    <tableColumn id="3" uniqueName="3" name="Año" queryTableFieldId="3" dataDxfId="11"/>
    <tableColumn id="4" uniqueName="4" name="Valor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 codeName="Hoja6">
    <outlinePr summaryBelow="1" summaryRight="1"/>
    <pageSetUpPr/>
  </sheetPr>
  <dimension ref="A1:L33"/>
  <sheetViews>
    <sheetView showGridLines="0" zoomScale="180" zoomScaleNormal="180" workbookViewId="0">
      <selection activeCell="F4" sqref="F4"/>
    </sheetView>
  </sheetViews>
  <sheetFormatPr baseColWidth="10" defaultRowHeight="15"/>
  <cols>
    <col width="23.28515625" customWidth="1" style="28" min="1" max="2"/>
    <col width="12.7109375" customWidth="1" style="28" min="9" max="9"/>
  </cols>
  <sheetData>
    <row r="1" ht="22.5" customHeight="1" s="28">
      <c r="A1" s="13" t="inlineStr">
        <is>
          <t>Índice de envejecimiento – Provincia de San Luis · Censos 1980–2022</t>
        </is>
      </c>
    </row>
    <row r="2" ht="15" customHeight="1" s="28">
      <c r="A2" s="3" t="inlineStr">
        <is>
          <t>Código</t>
        </is>
      </c>
      <c r="B2" s="3" t="inlineStr">
        <is>
          <t>Departamento</t>
        </is>
      </c>
      <c r="C2" s="4" t="inlineStr">
        <is>
          <t>1980</t>
        </is>
      </c>
      <c r="D2" s="4" t="inlineStr">
        <is>
          <t>1991</t>
        </is>
      </c>
      <c r="E2" s="4" t="inlineStr">
        <is>
          <t>2001</t>
        </is>
      </c>
      <c r="F2" s="4" t="inlineStr">
        <is>
          <t>2010</t>
        </is>
      </c>
      <c r="G2" s="4" t="inlineStr">
        <is>
          <t>2022</t>
        </is>
      </c>
    </row>
    <row r="3">
      <c r="A3" s="5" t="n">
        <v>74</v>
      </c>
      <c r="B3" s="5" t="inlineStr">
        <is>
          <t>Total</t>
        </is>
      </c>
      <c r="C3" s="6" t="n">
        <v>26</v>
      </c>
      <c r="D3" s="6" t="n">
        <v>22</v>
      </c>
      <c r="E3" s="6" t="n">
        <v>25</v>
      </c>
      <c r="F3" s="6" t="n">
        <v>31</v>
      </c>
      <c r="G3" s="6" t="n">
        <v>47</v>
      </c>
    </row>
    <row r="4">
      <c r="A4" s="9" t="n">
        <v>74007</v>
      </c>
      <c r="B4" s="9" t="inlineStr">
        <is>
          <t>Ayacucho</t>
        </is>
      </c>
      <c r="C4" s="8" t="n">
        <v>28</v>
      </c>
      <c r="D4" s="8" t="n">
        <v>28</v>
      </c>
      <c r="E4" s="8" t="n">
        <v>34</v>
      </c>
      <c r="F4" s="8" t="n">
        <v>36</v>
      </c>
      <c r="G4" s="8" t="n">
        <v>54</v>
      </c>
    </row>
    <row r="5">
      <c r="A5" s="9" t="n">
        <v>74014</v>
      </c>
      <c r="B5" s="9" t="inlineStr">
        <is>
          <t>Belgrano</t>
        </is>
      </c>
      <c r="C5" s="8" t="n">
        <v>26</v>
      </c>
      <c r="D5" s="8" t="n">
        <v>37</v>
      </c>
      <c r="E5" s="8" t="n">
        <v>49</v>
      </c>
      <c r="F5" s="8" t="n">
        <v>55</v>
      </c>
      <c r="G5" s="8" t="n">
        <v>66</v>
      </c>
    </row>
    <row r="6">
      <c r="A6" s="9" t="n">
        <v>74028</v>
      </c>
      <c r="B6" s="9" t="inlineStr">
        <is>
          <t>Chacabuco</t>
        </is>
      </c>
      <c r="C6" s="8" t="n">
        <v>25</v>
      </c>
      <c r="D6" s="8" t="n">
        <v>26</v>
      </c>
      <c r="E6" s="8" t="n">
        <v>28</v>
      </c>
      <c r="F6" s="8" t="n">
        <v>40</v>
      </c>
      <c r="G6" s="8" t="n">
        <v>61</v>
      </c>
    </row>
    <row r="7">
      <c r="A7" s="9" t="n">
        <v>74021</v>
      </c>
      <c r="B7" s="9" t="inlineStr">
        <is>
          <t>Coronel Pringles</t>
        </is>
      </c>
      <c r="C7" s="8" t="n">
        <v>25</v>
      </c>
      <c r="D7" s="8" t="n">
        <v>25</v>
      </c>
      <c r="E7" s="8" t="n">
        <v>31</v>
      </c>
      <c r="F7" s="8" t="n">
        <v>37</v>
      </c>
      <c r="G7" s="8" t="n">
        <v>57</v>
      </c>
    </row>
    <row r="8">
      <c r="A8" s="9" t="n">
        <v>74035</v>
      </c>
      <c r="B8" s="9" t="inlineStr">
        <is>
          <t>General Pedernera</t>
        </is>
      </c>
      <c r="C8" s="8" t="n">
        <v>25</v>
      </c>
      <c r="D8" s="8" t="n">
        <v>22</v>
      </c>
      <c r="E8" s="8" t="n">
        <v>25</v>
      </c>
      <c r="F8" s="8" t="n">
        <v>30</v>
      </c>
      <c r="G8" s="8" t="n">
        <v>43</v>
      </c>
    </row>
    <row r="9">
      <c r="A9" s="9" t="n">
        <v>74042</v>
      </c>
      <c r="B9" s="9" t="inlineStr">
        <is>
          <t>Gobernador Dupuy</t>
        </is>
      </c>
      <c r="C9" s="8" t="n">
        <v>19</v>
      </c>
      <c r="D9" s="8" t="n">
        <v>22</v>
      </c>
      <c r="E9" s="8" t="n">
        <v>22</v>
      </c>
      <c r="F9" s="8" t="n">
        <v>28</v>
      </c>
      <c r="G9" s="8" t="n">
        <v>38</v>
      </c>
    </row>
    <row r="10">
      <c r="A10" s="9" t="n">
        <v>74056</v>
      </c>
      <c r="B10" s="9" t="inlineStr">
        <is>
          <t>Juan Martín de Pueyrredón</t>
        </is>
      </c>
      <c r="C10" s="8" t="n">
        <v>25</v>
      </c>
      <c r="D10" s="8" t="n">
        <v>18</v>
      </c>
      <c r="E10" s="8" t="n">
        <v>20</v>
      </c>
      <c r="F10" s="8" t="n">
        <v>27</v>
      </c>
      <c r="G10" s="8" t="n">
        <v>44</v>
      </c>
    </row>
    <row r="11">
      <c r="A11" s="9" t="n">
        <v>74049</v>
      </c>
      <c r="B11" s="9" t="inlineStr">
        <is>
          <t>Junín</t>
        </is>
      </c>
      <c r="C11" s="8" t="n">
        <v>30</v>
      </c>
      <c r="D11" s="8" t="n">
        <v>31</v>
      </c>
      <c r="E11" s="8" t="n">
        <v>37</v>
      </c>
      <c r="F11" s="8" t="n">
        <v>49</v>
      </c>
      <c r="G11" s="8" t="n">
        <v>62</v>
      </c>
    </row>
    <row r="12">
      <c r="A12" s="9" t="n">
        <v>74063</v>
      </c>
      <c r="B12" s="9" t="inlineStr">
        <is>
          <t>Libertador General San Martín</t>
        </is>
      </c>
      <c r="C12" s="10" t="n">
        <v>32</v>
      </c>
      <c r="D12" s="10" t="n">
        <v>44</v>
      </c>
      <c r="E12" s="10" t="n">
        <v>47</v>
      </c>
      <c r="F12" s="10" t="n">
        <v>58</v>
      </c>
      <c r="G12" s="10" t="n">
        <v>85</v>
      </c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1" t="inlineStr"/>
      <c r="I13" t="inlineStr"/>
      <c r="J13" t="inlineStr"/>
      <c r="K13" t="inlineStr"/>
      <c r="L13" t="inlineStr"/>
    </row>
    <row r="14">
      <c r="H14" s="1" t="n"/>
    </row>
    <row r="15">
      <c r="H15" s="1" t="n"/>
    </row>
    <row r="16">
      <c r="H16" s="1" t="n"/>
    </row>
    <row r="17">
      <c r="H17" s="1" t="n"/>
    </row>
    <row r="18" ht="13.35" customHeight="1" s="28">
      <c r="H18" s="1" t="n"/>
    </row>
    <row r="19" ht="13.35" customHeight="1" s="28">
      <c r="H19" s="1" t="n"/>
    </row>
    <row r="20" ht="13.35" customHeight="1" s="28">
      <c r="H20" s="1" t="n"/>
    </row>
    <row r="21" ht="13.35" customHeight="1" s="28">
      <c r="H21" s="1" t="n"/>
    </row>
    <row r="22" ht="13.35" customHeight="1" s="28">
      <c r="H22" s="1" t="n"/>
    </row>
    <row r="23" ht="13.35" customHeight="1" s="28">
      <c r="H23" s="1" t="n"/>
    </row>
    <row r="24" ht="13.35" customHeight="1" s="28">
      <c r="H24" s="1" t="n"/>
    </row>
    <row r="25" ht="13.35" customHeight="1" s="28">
      <c r="H25" s="1" t="n"/>
    </row>
    <row r="26" ht="13.35" customHeight="1" s="28">
      <c r="H26" s="1" t="n"/>
    </row>
    <row r="27" ht="13.35" customHeight="1" s="28">
      <c r="H27" s="1" t="n"/>
    </row>
    <row r="28" ht="13.35" customHeight="1" s="28">
      <c r="H28" s="1" t="n"/>
    </row>
    <row r="29" ht="13.35" customHeight="1" s="28">
      <c r="H29" s="1" t="n"/>
    </row>
    <row r="30" ht="13.35" customHeight="1" s="28">
      <c r="H30" s="1" t="n"/>
    </row>
    <row r="31" ht="13.35" customHeight="1" s="28">
      <c r="H31" s="1" t="n"/>
    </row>
    <row r="32" ht="13.35" customHeight="1" s="28">
      <c r="H32" s="1" t="n"/>
    </row>
    <row r="33" ht="13.35" customHeight="1" s="28">
      <c r="H33" s="1" t="n"/>
    </row>
    <row r="34" ht="13.35" customHeight="1" s="28"/>
    <row r="36" ht="15" customHeight="1" s="28"/>
  </sheetData>
  <mergeCells count="1">
    <mergeCell ref="A1:G1"/>
  </mergeCell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9" customWidth="1" style="28" min="1" max="1"/>
    <col width="32" customWidth="1" style="28" min="2" max="2"/>
    <col width="10" customWidth="1" style="28" min="3" max="3"/>
    <col width="10" customWidth="1" style="28" min="4" max="4"/>
    <col width="14" customWidth="1" style="28" min="5" max="5"/>
    <col width="14" customWidth="1" style="28" min="6" max="6"/>
    <col width="12" customWidth="1" style="28" min="7" max="7"/>
    <col width="15" customWidth="1" style="28" min="8" max="8"/>
  </cols>
  <sheetData>
    <row r="1" ht="26" customHeight="1" s="28">
      <c r="A1" s="30" t="inlineStr">
        <is>
          <t>Indicadores derivados – Variación absoluta, relativa y ranking</t>
        </is>
      </c>
    </row>
    <row r="2" ht="14" customHeight="1" s="28">
      <c r="A2" s="31" t="inlineStr">
        <is>
          <t>IE 2010 e IE 2022 se traen con fórmulas desde 'Datos base'. Las columnas E, F, G y H son fórmulas calculadas.</t>
        </is>
      </c>
    </row>
    <row r="3" ht="30" customHeight="1" s="28">
      <c r="A3" s="32" t="inlineStr">
        <is>
          <t>Código</t>
        </is>
      </c>
      <c r="B3" s="32" t="inlineStr">
        <is>
          <t>Departamento</t>
        </is>
      </c>
      <c r="C3" s="32" t="inlineStr">
        <is>
          <t>IE 2010</t>
        </is>
      </c>
      <c r="D3" s="32" t="inlineStr">
        <is>
          <t>IE 2022</t>
        </is>
      </c>
      <c r="E3" s="33" t="inlineStr">
        <is>
          <t>Var. absoluta
(2022−2010)</t>
        </is>
      </c>
      <c r="F3" s="33" t="inlineStr">
        <is>
          <t>Var. relativa
(%)</t>
        </is>
      </c>
      <c r="G3" s="34" t="inlineStr">
        <is>
          <t>Ranking IE
2022</t>
        </is>
      </c>
      <c r="H3" s="34" t="inlineStr">
        <is>
          <t>Ranking Var.
absoluta</t>
        </is>
      </c>
    </row>
    <row r="4" ht="18" customHeight="1" s="28">
      <c r="A4" s="35">
        <f>'Datos base'!A3</f>
        <v/>
      </c>
      <c r="B4" s="36">
        <f>'Datos base'!B3</f>
        <v/>
      </c>
      <c r="C4" s="35">
        <f>'Datos base'!F3</f>
        <v/>
      </c>
      <c r="D4" s="35">
        <f>'Datos base'!G3</f>
        <v/>
      </c>
      <c r="E4" s="37">
        <f>D4-C4</f>
        <v/>
      </c>
      <c r="F4" s="38">
        <f>IFERROR((D4-C4)/C4*100,"")</f>
        <v/>
      </c>
      <c r="G4" s="35" t="inlineStr">
        <is>
          <t>—</t>
        </is>
      </c>
      <c r="H4" s="35" t="inlineStr">
        <is>
          <t>—</t>
        </is>
      </c>
    </row>
    <row r="5" ht="18" customHeight="1" s="28">
      <c r="A5" s="39">
        <f>'Datos base'!A4</f>
        <v/>
      </c>
      <c r="B5" s="40">
        <f>'Datos base'!B4</f>
        <v/>
      </c>
      <c r="C5" s="39">
        <f>'Datos base'!F4</f>
        <v/>
      </c>
      <c r="D5" s="39">
        <f>'Datos base'!G4</f>
        <v/>
      </c>
      <c r="E5" s="41">
        <f>D5-C5</f>
        <v/>
      </c>
      <c r="F5" s="42">
        <f>IFERROR((D5-C5)/C5*100,"")</f>
        <v/>
      </c>
      <c r="G5" s="39">
        <f>RANK(D5,$D$5:$D$13,0)</f>
        <v/>
      </c>
      <c r="H5" s="39">
        <f>RANK(E5,$E$5:$E$13,0)</f>
        <v/>
      </c>
    </row>
    <row r="6" ht="18" customHeight="1" s="28">
      <c r="A6" s="43">
        <f>'Datos base'!A5</f>
        <v/>
      </c>
      <c r="B6" s="44">
        <f>'Datos base'!B5</f>
        <v/>
      </c>
      <c r="C6" s="43">
        <f>'Datos base'!F5</f>
        <v/>
      </c>
      <c r="D6" s="43">
        <f>'Datos base'!G5</f>
        <v/>
      </c>
      <c r="E6" s="45">
        <f>D6-C6</f>
        <v/>
      </c>
      <c r="F6" s="46">
        <f>IFERROR((D6-C6)/C6*100,"")</f>
        <v/>
      </c>
      <c r="G6" s="43">
        <f>RANK(D6,$D$5:$D$13,0)</f>
        <v/>
      </c>
      <c r="H6" s="43">
        <f>RANK(E6,$E$5:$E$13,0)</f>
        <v/>
      </c>
    </row>
    <row r="7" ht="18" customHeight="1" s="28">
      <c r="A7" s="39">
        <f>'Datos base'!A6</f>
        <v/>
      </c>
      <c r="B7" s="40">
        <f>'Datos base'!B6</f>
        <v/>
      </c>
      <c r="C7" s="39">
        <f>'Datos base'!F6</f>
        <v/>
      </c>
      <c r="D7" s="39">
        <f>'Datos base'!G6</f>
        <v/>
      </c>
      <c r="E7" s="41">
        <f>D7-C7</f>
        <v/>
      </c>
      <c r="F7" s="42">
        <f>IFERROR((D7-C7)/C7*100,"")</f>
        <v/>
      </c>
      <c r="G7" s="39">
        <f>RANK(D7,$D$5:$D$13,0)</f>
        <v/>
      </c>
      <c r="H7" s="39">
        <f>RANK(E7,$E$5:$E$13,0)</f>
        <v/>
      </c>
    </row>
    <row r="8" ht="18" customHeight="1" s="28">
      <c r="A8" s="43">
        <f>'Datos base'!A7</f>
        <v/>
      </c>
      <c r="B8" s="44">
        <f>'Datos base'!B7</f>
        <v/>
      </c>
      <c r="C8" s="43">
        <f>'Datos base'!F7</f>
        <v/>
      </c>
      <c r="D8" s="43">
        <f>'Datos base'!G7</f>
        <v/>
      </c>
      <c r="E8" s="45">
        <f>D8-C8</f>
        <v/>
      </c>
      <c r="F8" s="46">
        <f>IFERROR((D8-C8)/C8*100,"")</f>
        <v/>
      </c>
      <c r="G8" s="43">
        <f>RANK(D8,$D$5:$D$13,0)</f>
        <v/>
      </c>
      <c r="H8" s="43">
        <f>RANK(E8,$E$5:$E$13,0)</f>
        <v/>
      </c>
    </row>
    <row r="9" ht="18" customHeight="1" s="28">
      <c r="A9" s="39">
        <f>'Datos base'!A8</f>
        <v/>
      </c>
      <c r="B9" s="40">
        <f>'Datos base'!B8</f>
        <v/>
      </c>
      <c r="C9" s="39">
        <f>'Datos base'!F8</f>
        <v/>
      </c>
      <c r="D9" s="39">
        <f>'Datos base'!G8</f>
        <v/>
      </c>
      <c r="E9" s="41">
        <f>D9-C9</f>
        <v/>
      </c>
      <c r="F9" s="42">
        <f>IFERROR((D9-C9)/C9*100,"")</f>
        <v/>
      </c>
      <c r="G9" s="39">
        <f>RANK(D9,$D$5:$D$13,0)</f>
        <v/>
      </c>
      <c r="H9" s="39">
        <f>RANK(E9,$E$5:$E$13,0)</f>
        <v/>
      </c>
    </row>
    <row r="10" ht="18" customHeight="1" s="28">
      <c r="A10" s="43">
        <f>'Datos base'!A9</f>
        <v/>
      </c>
      <c r="B10" s="44">
        <f>'Datos base'!B9</f>
        <v/>
      </c>
      <c r="C10" s="43">
        <f>'Datos base'!F9</f>
        <v/>
      </c>
      <c r="D10" s="43">
        <f>'Datos base'!G9</f>
        <v/>
      </c>
      <c r="E10" s="45">
        <f>D10-C10</f>
        <v/>
      </c>
      <c r="F10" s="46">
        <f>IFERROR((D10-C10)/C10*100,"")</f>
        <v/>
      </c>
      <c r="G10" s="43">
        <f>RANK(D10,$D$5:$D$13,0)</f>
        <v/>
      </c>
      <c r="H10" s="43">
        <f>RANK(E10,$E$5:$E$13,0)</f>
        <v/>
      </c>
    </row>
    <row r="11" ht="18" customHeight="1" s="28">
      <c r="A11" s="39">
        <f>'Datos base'!A10</f>
        <v/>
      </c>
      <c r="B11" s="40">
        <f>'Datos base'!B10</f>
        <v/>
      </c>
      <c r="C11" s="39">
        <f>'Datos base'!F10</f>
        <v/>
      </c>
      <c r="D11" s="39">
        <f>'Datos base'!G10</f>
        <v/>
      </c>
      <c r="E11" s="41">
        <f>D11-C11</f>
        <v/>
      </c>
      <c r="F11" s="42">
        <f>IFERROR((D11-C11)/C11*100,"")</f>
        <v/>
      </c>
      <c r="G11" s="39">
        <f>RANK(D11,$D$5:$D$13,0)</f>
        <v/>
      </c>
      <c r="H11" s="39">
        <f>RANK(E11,$E$5:$E$13,0)</f>
        <v/>
      </c>
    </row>
    <row r="12" ht="18" customHeight="1" s="28">
      <c r="A12" s="43">
        <f>'Datos base'!A11</f>
        <v/>
      </c>
      <c r="B12" s="44">
        <f>'Datos base'!B11</f>
        <v/>
      </c>
      <c r="C12" s="43">
        <f>'Datos base'!F11</f>
        <v/>
      </c>
      <c r="D12" s="43">
        <f>'Datos base'!G11</f>
        <v/>
      </c>
      <c r="E12" s="45">
        <f>D12-C12</f>
        <v/>
      </c>
      <c r="F12" s="46">
        <f>IFERROR((D12-C12)/C12*100,"")</f>
        <v/>
      </c>
      <c r="G12" s="43">
        <f>RANK(D12,$D$5:$D$13,0)</f>
        <v/>
      </c>
      <c r="H12" s="43">
        <f>RANK(E12,$E$5:$E$13,0)</f>
        <v/>
      </c>
    </row>
    <row r="13" ht="18" customHeight="1" s="28">
      <c r="A13" s="39">
        <f>'Datos base'!A12</f>
        <v/>
      </c>
      <c r="B13" s="40">
        <f>'Datos base'!B12</f>
        <v/>
      </c>
      <c r="C13" s="39">
        <f>'Datos base'!F12</f>
        <v/>
      </c>
      <c r="D13" s="39">
        <f>'Datos base'!G12</f>
        <v/>
      </c>
      <c r="E13" s="41">
        <f>D13-C13</f>
        <v/>
      </c>
      <c r="F13" s="42">
        <f>IFERROR((D13-C13)/C13*100,"")</f>
        <v/>
      </c>
      <c r="G13" s="39">
        <f>RANK(D13,$D$5:$D$13,0)</f>
        <v/>
      </c>
      <c r="H13" s="39">
        <f>RANK(E13,$E$5:$E$13,0)</f>
        <v/>
      </c>
    </row>
    <row r="15" ht="14" customHeight="1" s="28">
      <c r="A15" s="47" t="inlineStr">
        <is>
          <t>Fórmulas: Var. absoluta = D−C  |  Var. relativa = IFERROR((D−C)/C×100)  |  Ranking = RANK(D, $D$5:$D$13, 0)</t>
        </is>
      </c>
    </row>
  </sheetData>
  <mergeCells count="3">
    <mergeCell ref="A15:H15"/>
    <mergeCell ref="A2:H2"/>
    <mergeCell ref="A1:H1"/>
  </mergeCells>
  <conditionalFormatting sqref="D5:D13">
    <cfRule type="colorScale" priority="1">
      <colorScale>
        <cfvo type="min"/>
        <cfvo type="percentile" val="50"/>
        <cfvo type="max"/>
        <color rgb="0092D050"/>
        <color rgb="00FFEB84"/>
        <color rgb="00FF0000"/>
      </colorScale>
    </cfRule>
  </conditionalFormatting>
  <conditionalFormatting sqref="F5:F13">
    <cfRule type="colorScale" priority="2">
      <colorScale>
        <cfvo type="min"/>
        <cfvo type="max"/>
        <color rgb="00FFFFFF"/>
        <color rgb="002E6DA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4" sqref="A4"/>
    </sheetView>
  </sheetViews>
  <sheetFormatPr baseColWidth="10" defaultRowHeight="15"/>
  <cols>
    <col width="9.42578125" bestFit="1" customWidth="1" style="28" min="1" max="1"/>
    <col width="27.7109375" bestFit="1" customWidth="1" style="28" min="2" max="2"/>
    <col width="10.7109375" bestFit="1" customWidth="1" style="28" min="3" max="3"/>
    <col width="8" bestFit="1" customWidth="1" style="28" min="4" max="4"/>
  </cols>
  <sheetData>
    <row r="1">
      <c r="A1" t="inlineStr">
        <is>
          <t>Código</t>
        </is>
      </c>
      <c r="B1" t="inlineStr">
        <is>
          <t>Departamento</t>
        </is>
      </c>
      <c r="C1" t="inlineStr">
        <is>
          <t>Año</t>
        </is>
      </c>
      <c r="D1" t="inlineStr">
        <is>
          <t>Valor</t>
        </is>
      </c>
    </row>
    <row r="2">
      <c r="A2" t="n">
        <v>74</v>
      </c>
      <c r="B2" t="inlineStr">
        <is>
          <t>Total</t>
        </is>
      </c>
      <c r="C2" t="inlineStr">
        <is>
          <t>1980</t>
        </is>
      </c>
      <c r="D2" t="n">
        <v>26</v>
      </c>
    </row>
    <row r="3">
      <c r="A3" t="n">
        <v>74</v>
      </c>
      <c r="B3" t="inlineStr">
        <is>
          <t>Total</t>
        </is>
      </c>
      <c r="C3" t="inlineStr">
        <is>
          <t>1991</t>
        </is>
      </c>
      <c r="D3" t="n">
        <v>22</v>
      </c>
    </row>
    <row r="4">
      <c r="A4" t="n">
        <v>74</v>
      </c>
      <c r="B4" t="inlineStr">
        <is>
          <t>Total</t>
        </is>
      </c>
      <c r="C4" t="inlineStr">
        <is>
          <t>2001</t>
        </is>
      </c>
      <c r="D4" t="n">
        <v>25</v>
      </c>
    </row>
    <row r="5">
      <c r="A5" t="n">
        <v>74</v>
      </c>
      <c r="B5" t="inlineStr">
        <is>
          <t>Total</t>
        </is>
      </c>
      <c r="C5" t="inlineStr">
        <is>
          <t>2010</t>
        </is>
      </c>
      <c r="D5" t="n">
        <v>31</v>
      </c>
    </row>
    <row r="6">
      <c r="A6" t="n">
        <v>74</v>
      </c>
      <c r="B6" t="inlineStr">
        <is>
          <t>Total</t>
        </is>
      </c>
      <c r="C6" t="inlineStr">
        <is>
          <t>2022</t>
        </is>
      </c>
      <c r="D6" t="n">
        <v>47</v>
      </c>
    </row>
    <row r="7">
      <c r="A7" t="n">
        <v>74007</v>
      </c>
      <c r="B7" t="inlineStr">
        <is>
          <t>Ayacucho</t>
        </is>
      </c>
      <c r="C7" t="inlineStr">
        <is>
          <t>1980</t>
        </is>
      </c>
      <c r="D7" t="n">
        <v>28</v>
      </c>
    </row>
    <row r="8">
      <c r="A8" t="n">
        <v>74007</v>
      </c>
      <c r="B8" t="inlineStr">
        <is>
          <t>Ayacucho</t>
        </is>
      </c>
      <c r="C8" t="inlineStr">
        <is>
          <t>1991</t>
        </is>
      </c>
      <c r="D8" t="n">
        <v>28</v>
      </c>
    </row>
    <row r="9">
      <c r="A9" t="n">
        <v>74007</v>
      </c>
      <c r="B9" t="inlineStr">
        <is>
          <t>Ayacucho</t>
        </is>
      </c>
      <c r="C9" t="inlineStr">
        <is>
          <t>2001</t>
        </is>
      </c>
      <c r="D9" t="n">
        <v>34</v>
      </c>
    </row>
    <row r="10">
      <c r="A10" t="n">
        <v>74007</v>
      </c>
      <c r="B10" t="inlineStr">
        <is>
          <t>Ayacucho</t>
        </is>
      </c>
      <c r="C10" t="inlineStr">
        <is>
          <t>2010</t>
        </is>
      </c>
      <c r="D10" t="n">
        <v>36</v>
      </c>
    </row>
    <row r="11">
      <c r="A11" t="n">
        <v>74007</v>
      </c>
      <c r="B11" t="inlineStr">
        <is>
          <t>Ayacucho</t>
        </is>
      </c>
      <c r="C11" t="inlineStr">
        <is>
          <t>2022</t>
        </is>
      </c>
      <c r="D11" t="n">
        <v>54</v>
      </c>
    </row>
    <row r="12">
      <c r="A12" t="n">
        <v>74014</v>
      </c>
      <c r="B12" t="inlineStr">
        <is>
          <t>Belgrano</t>
        </is>
      </c>
      <c r="C12" t="inlineStr">
        <is>
          <t>1980</t>
        </is>
      </c>
      <c r="D12" t="n">
        <v>26</v>
      </c>
    </row>
    <row r="13">
      <c r="A13" t="n">
        <v>74014</v>
      </c>
      <c r="B13" t="inlineStr">
        <is>
          <t>Belgrano</t>
        </is>
      </c>
      <c r="C13" t="inlineStr">
        <is>
          <t>1991</t>
        </is>
      </c>
      <c r="D13" t="n">
        <v>37</v>
      </c>
    </row>
    <row r="14">
      <c r="A14" t="n">
        <v>74014</v>
      </c>
      <c r="B14" t="inlineStr">
        <is>
          <t>Belgrano</t>
        </is>
      </c>
      <c r="C14" t="inlineStr">
        <is>
          <t>2001</t>
        </is>
      </c>
      <c r="D14" t="n">
        <v>49</v>
      </c>
    </row>
    <row r="15">
      <c r="A15" t="n">
        <v>74014</v>
      </c>
      <c r="B15" t="inlineStr">
        <is>
          <t>Belgrano</t>
        </is>
      </c>
      <c r="C15" t="inlineStr">
        <is>
          <t>2010</t>
        </is>
      </c>
      <c r="D15" t="n">
        <v>55</v>
      </c>
    </row>
    <row r="16">
      <c r="A16" t="n">
        <v>74014</v>
      </c>
      <c r="B16" t="inlineStr">
        <is>
          <t>Belgrano</t>
        </is>
      </c>
      <c r="C16" t="inlineStr">
        <is>
          <t>2022</t>
        </is>
      </c>
      <c r="D16" t="n">
        <v>66</v>
      </c>
    </row>
    <row r="17">
      <c r="A17" t="n">
        <v>74028</v>
      </c>
      <c r="B17" t="inlineStr">
        <is>
          <t>Chacabuco</t>
        </is>
      </c>
      <c r="C17" t="inlineStr">
        <is>
          <t>1980</t>
        </is>
      </c>
      <c r="D17" t="n">
        <v>25</v>
      </c>
    </row>
    <row r="18">
      <c r="A18" t="n">
        <v>74028</v>
      </c>
      <c r="B18" t="inlineStr">
        <is>
          <t>Chacabuco</t>
        </is>
      </c>
      <c r="C18" t="inlineStr">
        <is>
          <t>1991</t>
        </is>
      </c>
      <c r="D18" t="n">
        <v>26</v>
      </c>
    </row>
    <row r="19">
      <c r="A19" t="n">
        <v>74028</v>
      </c>
      <c r="B19" t="inlineStr">
        <is>
          <t>Chacabuco</t>
        </is>
      </c>
      <c r="C19" t="inlineStr">
        <is>
          <t>2001</t>
        </is>
      </c>
      <c r="D19" t="n">
        <v>28</v>
      </c>
    </row>
    <row r="20">
      <c r="A20" t="n">
        <v>74028</v>
      </c>
      <c r="B20" t="inlineStr">
        <is>
          <t>Chacabuco</t>
        </is>
      </c>
      <c r="C20" t="inlineStr">
        <is>
          <t>2010</t>
        </is>
      </c>
      <c r="D20" t="n">
        <v>40</v>
      </c>
    </row>
    <row r="21">
      <c r="A21" t="n">
        <v>74028</v>
      </c>
      <c r="B21" t="inlineStr">
        <is>
          <t>Chacabuco</t>
        </is>
      </c>
      <c r="C21" t="inlineStr">
        <is>
          <t>2022</t>
        </is>
      </c>
      <c r="D21" t="n">
        <v>61</v>
      </c>
    </row>
    <row r="22">
      <c r="A22" t="n">
        <v>74021</v>
      </c>
      <c r="B22" t="inlineStr">
        <is>
          <t>Coronel Pringles</t>
        </is>
      </c>
      <c r="C22" t="inlineStr">
        <is>
          <t>1980</t>
        </is>
      </c>
      <c r="D22" t="n">
        <v>25</v>
      </c>
    </row>
    <row r="23">
      <c r="A23" t="n">
        <v>74021</v>
      </c>
      <c r="B23" t="inlineStr">
        <is>
          <t>Coronel Pringles</t>
        </is>
      </c>
      <c r="C23" t="inlineStr">
        <is>
          <t>1991</t>
        </is>
      </c>
      <c r="D23" t="n">
        <v>25</v>
      </c>
    </row>
    <row r="24">
      <c r="A24" t="n">
        <v>74021</v>
      </c>
      <c r="B24" t="inlineStr">
        <is>
          <t>Coronel Pringles</t>
        </is>
      </c>
      <c r="C24" t="inlineStr">
        <is>
          <t>2001</t>
        </is>
      </c>
      <c r="D24" t="n">
        <v>31</v>
      </c>
    </row>
    <row r="25">
      <c r="A25" t="n">
        <v>74021</v>
      </c>
      <c r="B25" t="inlineStr">
        <is>
          <t>Coronel Pringles</t>
        </is>
      </c>
      <c r="C25" t="inlineStr">
        <is>
          <t>2010</t>
        </is>
      </c>
      <c r="D25" t="n">
        <v>37</v>
      </c>
    </row>
    <row r="26">
      <c r="A26" t="n">
        <v>74021</v>
      </c>
      <c r="B26" t="inlineStr">
        <is>
          <t>Coronel Pringles</t>
        </is>
      </c>
      <c r="C26" t="inlineStr">
        <is>
          <t>2022</t>
        </is>
      </c>
      <c r="D26" t="n">
        <v>57</v>
      </c>
    </row>
    <row r="27">
      <c r="A27" t="n">
        <v>74035</v>
      </c>
      <c r="B27" t="inlineStr">
        <is>
          <t>General Pedernera</t>
        </is>
      </c>
      <c r="C27" t="inlineStr">
        <is>
          <t>1980</t>
        </is>
      </c>
      <c r="D27" t="n">
        <v>25</v>
      </c>
    </row>
    <row r="28">
      <c r="A28" t="n">
        <v>74035</v>
      </c>
      <c r="B28" t="inlineStr">
        <is>
          <t>General Pedernera</t>
        </is>
      </c>
      <c r="C28" t="inlineStr">
        <is>
          <t>1991</t>
        </is>
      </c>
      <c r="D28" t="n">
        <v>22</v>
      </c>
    </row>
    <row r="29">
      <c r="A29" t="n">
        <v>74035</v>
      </c>
      <c r="B29" t="inlineStr">
        <is>
          <t>General Pedernera</t>
        </is>
      </c>
      <c r="C29" t="inlineStr">
        <is>
          <t>2001</t>
        </is>
      </c>
      <c r="D29" t="n">
        <v>25</v>
      </c>
    </row>
    <row r="30">
      <c r="A30" t="n">
        <v>74035</v>
      </c>
      <c r="B30" t="inlineStr">
        <is>
          <t>General Pedernera</t>
        </is>
      </c>
      <c r="C30" t="inlineStr">
        <is>
          <t>2010</t>
        </is>
      </c>
      <c r="D30" t="n">
        <v>30</v>
      </c>
    </row>
    <row r="31">
      <c r="A31" t="n">
        <v>74035</v>
      </c>
      <c r="B31" t="inlineStr">
        <is>
          <t>General Pedernera</t>
        </is>
      </c>
      <c r="C31" t="inlineStr">
        <is>
          <t>2022</t>
        </is>
      </c>
      <c r="D31" t="n">
        <v>43</v>
      </c>
    </row>
    <row r="32">
      <c r="A32" t="n">
        <v>74042</v>
      </c>
      <c r="B32" t="inlineStr">
        <is>
          <t>Gobernador Dupuy</t>
        </is>
      </c>
      <c r="C32" t="inlineStr">
        <is>
          <t>1980</t>
        </is>
      </c>
      <c r="D32" t="n">
        <v>19</v>
      </c>
    </row>
    <row r="33">
      <c r="A33" t="n">
        <v>74042</v>
      </c>
      <c r="B33" t="inlineStr">
        <is>
          <t>Gobernador Dupuy</t>
        </is>
      </c>
      <c r="C33" t="inlineStr">
        <is>
          <t>1991</t>
        </is>
      </c>
      <c r="D33" t="n">
        <v>22</v>
      </c>
    </row>
    <row r="34">
      <c r="A34" t="n">
        <v>74042</v>
      </c>
      <c r="B34" t="inlineStr">
        <is>
          <t>Gobernador Dupuy</t>
        </is>
      </c>
      <c r="C34" t="inlineStr">
        <is>
          <t>2001</t>
        </is>
      </c>
      <c r="D34" t="n">
        <v>22</v>
      </c>
    </row>
    <row r="35">
      <c r="A35" t="n">
        <v>74042</v>
      </c>
      <c r="B35" t="inlineStr">
        <is>
          <t>Gobernador Dupuy</t>
        </is>
      </c>
      <c r="C35" t="inlineStr">
        <is>
          <t>2010</t>
        </is>
      </c>
      <c r="D35" t="n">
        <v>28</v>
      </c>
    </row>
    <row r="36">
      <c r="A36" t="n">
        <v>74042</v>
      </c>
      <c r="B36" t="inlineStr">
        <is>
          <t>Gobernador Dupuy</t>
        </is>
      </c>
      <c r="C36" t="inlineStr">
        <is>
          <t>2022</t>
        </is>
      </c>
      <c r="D36" t="n">
        <v>38</v>
      </c>
    </row>
    <row r="37">
      <c r="A37" t="n">
        <v>74056</v>
      </c>
      <c r="B37" t="inlineStr">
        <is>
          <t>Juan Martín de Pueyrredón</t>
        </is>
      </c>
      <c r="C37" t="inlineStr">
        <is>
          <t>1980</t>
        </is>
      </c>
      <c r="D37" t="n">
        <v>25</v>
      </c>
    </row>
    <row r="38">
      <c r="A38" t="n">
        <v>74056</v>
      </c>
      <c r="B38" t="inlineStr">
        <is>
          <t>Juan Martín de Pueyrredón</t>
        </is>
      </c>
      <c r="C38" t="inlineStr">
        <is>
          <t>1991</t>
        </is>
      </c>
      <c r="D38" t="n">
        <v>18</v>
      </c>
    </row>
    <row r="39">
      <c r="A39" t="n">
        <v>74056</v>
      </c>
      <c r="B39" t="inlineStr">
        <is>
          <t>Juan Martín de Pueyrredón</t>
        </is>
      </c>
      <c r="C39" t="inlineStr">
        <is>
          <t>2001</t>
        </is>
      </c>
      <c r="D39" t="n">
        <v>20</v>
      </c>
    </row>
    <row r="40">
      <c r="A40" t="n">
        <v>74056</v>
      </c>
      <c r="B40" t="inlineStr">
        <is>
          <t>Juan Martín de Pueyrredón</t>
        </is>
      </c>
      <c r="C40" t="inlineStr">
        <is>
          <t>2010</t>
        </is>
      </c>
      <c r="D40" t="n">
        <v>27</v>
      </c>
    </row>
    <row r="41">
      <c r="A41" t="n">
        <v>74056</v>
      </c>
      <c r="B41" t="inlineStr">
        <is>
          <t>Juan Martín de Pueyrredón</t>
        </is>
      </c>
      <c r="C41" t="inlineStr">
        <is>
          <t>2022</t>
        </is>
      </c>
      <c r="D41" t="n">
        <v>44</v>
      </c>
    </row>
    <row r="42">
      <c r="A42" t="n">
        <v>74049</v>
      </c>
      <c r="B42" t="inlineStr">
        <is>
          <t>Junín</t>
        </is>
      </c>
      <c r="C42" t="inlineStr">
        <is>
          <t>1980</t>
        </is>
      </c>
      <c r="D42" t="n">
        <v>30</v>
      </c>
    </row>
    <row r="43">
      <c r="A43" t="n">
        <v>74049</v>
      </c>
      <c r="B43" t="inlineStr">
        <is>
          <t>Junín</t>
        </is>
      </c>
      <c r="C43" t="inlineStr">
        <is>
          <t>1991</t>
        </is>
      </c>
      <c r="D43" t="n">
        <v>31</v>
      </c>
    </row>
    <row r="44">
      <c r="A44" t="n">
        <v>74049</v>
      </c>
      <c r="B44" t="inlineStr">
        <is>
          <t>Junín</t>
        </is>
      </c>
      <c r="C44" t="inlineStr">
        <is>
          <t>2001</t>
        </is>
      </c>
      <c r="D44" t="n">
        <v>37</v>
      </c>
    </row>
    <row r="45">
      <c r="A45" t="n">
        <v>74049</v>
      </c>
      <c r="B45" t="inlineStr">
        <is>
          <t>Junín</t>
        </is>
      </c>
      <c r="C45" t="inlineStr">
        <is>
          <t>2010</t>
        </is>
      </c>
      <c r="D45" t="n">
        <v>49</v>
      </c>
    </row>
    <row r="46">
      <c r="A46" t="n">
        <v>74049</v>
      </c>
      <c r="B46" t="inlineStr">
        <is>
          <t>Junín</t>
        </is>
      </c>
      <c r="C46" t="inlineStr">
        <is>
          <t>2022</t>
        </is>
      </c>
      <c r="D46" t="n">
        <v>62</v>
      </c>
    </row>
    <row r="47">
      <c r="A47" t="n">
        <v>74063</v>
      </c>
      <c r="B47" t="inlineStr">
        <is>
          <t>Libertador General San Martín</t>
        </is>
      </c>
      <c r="C47" t="inlineStr">
        <is>
          <t>1980</t>
        </is>
      </c>
      <c r="D47" t="n">
        <v>32</v>
      </c>
    </row>
    <row r="48">
      <c r="A48" t="n">
        <v>74063</v>
      </c>
      <c r="B48" t="inlineStr">
        <is>
          <t>Libertador General San Martín</t>
        </is>
      </c>
      <c r="C48" t="inlineStr">
        <is>
          <t>1991</t>
        </is>
      </c>
      <c r="D48" t="n">
        <v>44</v>
      </c>
    </row>
    <row r="49">
      <c r="A49" t="n">
        <v>74063</v>
      </c>
      <c r="B49" t="inlineStr">
        <is>
          <t>Libertador General San Martín</t>
        </is>
      </c>
      <c r="C49" t="inlineStr">
        <is>
          <t>2001</t>
        </is>
      </c>
      <c r="D49" t="n">
        <v>47</v>
      </c>
    </row>
    <row r="50">
      <c r="A50" t="n">
        <v>74063</v>
      </c>
      <c r="B50" t="inlineStr">
        <is>
          <t>Libertador General San Martín</t>
        </is>
      </c>
      <c r="C50" t="inlineStr">
        <is>
          <t>2010</t>
        </is>
      </c>
      <c r="D50" t="n">
        <v>58</v>
      </c>
    </row>
    <row r="51">
      <c r="A51" t="n">
        <v>74063</v>
      </c>
      <c r="B51" t="inlineStr">
        <is>
          <t>Libertador General San Martín</t>
        </is>
      </c>
      <c r="C51" t="inlineStr">
        <is>
          <t>2022</t>
        </is>
      </c>
      <c r="D51" t="n">
        <v>85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Gonzalia Rodrigo</dc:creator>
  <dcterms:created xmlns:dcterms="http://purl.org/dc/terms/" xmlns:xsi="http://www.w3.org/2001/XMLSchema-instance" xsi:type="dcterms:W3CDTF">2023-11-13T14:18:13Z</dcterms:created>
  <dcterms:modified xmlns:dcterms="http://purl.org/dc/terms/" xmlns:xsi="http://www.w3.org/2001/XMLSchema-instance" xsi:type="dcterms:W3CDTF">2026-03-15T02:41:12Z</dcterms:modified>
  <cp:lastModifiedBy>W11PRO</cp:lastModifiedBy>
</cp:coreProperties>
</file>
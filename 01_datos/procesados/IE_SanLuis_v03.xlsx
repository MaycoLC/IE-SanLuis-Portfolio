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W11PRO\Downloads\IE-SanLuis-Portfolio\01_datos\modificado\"/>
    </mc:Choice>
  </mc:AlternateContent>
  <xr:revisionPtr revIDLastSave="0" documentId="13_ncr:1_{E8B8E80E-97D6-40DE-8604-014214F6BFB0}" xr6:coauthVersionLast="44" xr6:coauthVersionMax="44" xr10:uidLastSave="{00000000-0000-0000-0000-000000000000}"/>
  <bookViews>
    <workbookView xWindow="-120" yWindow="-120" windowWidth="29040" windowHeight="16440" activeTab="4" xr2:uid="{00000000-000D-0000-FFFF-FFFF00000000}"/>
  </bookViews>
  <sheets>
    <sheet name="Datos base" sheetId="1" r:id="rId1"/>
    <sheet name="Datos largo" sheetId="3" r:id="rId2"/>
    <sheet name="Indicadores" sheetId="2" r:id="rId3"/>
    <sheet name="TD Evolución" sheetId="4" r:id="rId4"/>
    <sheet name="Dashboard" sheetId="7" r:id="rId5"/>
  </sheets>
  <definedNames>
    <definedName name="_xlnm._FilterDatabase" localSheetId="2" hidden="1">Indicadores!$K$3:$K$12</definedName>
    <definedName name="DatosExternos_1" localSheetId="1" hidden="1">'Datos largo'!$A$1:$D$51</definedName>
    <definedName name="SegmentaciónDeDatos_Año">#N/A</definedName>
    <definedName name="SegmentaciónDeDatos_Departamento">#N/A</definedName>
  </definedNames>
  <calcPr calcId="191029"/>
  <pivotCaches>
    <pivotCache cacheId="1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4" i="2"/>
  <c r="J4" i="2"/>
  <c r="J5" i="2"/>
  <c r="J6" i="2"/>
  <c r="J7" i="2"/>
  <c r="J8" i="2"/>
  <c r="J9" i="2"/>
  <c r="J10" i="2"/>
  <c r="J11" i="2"/>
  <c r="J12" i="2"/>
  <c r="A9" i="2"/>
  <c r="A5" i="2"/>
  <c r="A7" i="2"/>
  <c r="A8" i="2"/>
  <c r="A11" i="2"/>
  <c r="A12" i="2"/>
  <c r="A10" i="2"/>
  <c r="A6" i="2"/>
  <c r="A4" i="2"/>
  <c r="B9" i="2"/>
  <c r="B5" i="2"/>
  <c r="B7" i="2"/>
  <c r="B8" i="2"/>
  <c r="B11" i="2"/>
  <c r="B12" i="2"/>
  <c r="B10" i="2"/>
  <c r="B6" i="2"/>
  <c r="B4" i="2"/>
  <c r="E9" i="2"/>
  <c r="E5" i="2"/>
  <c r="E7" i="2"/>
  <c r="E8" i="2"/>
  <c r="E11" i="2"/>
  <c r="E12" i="2"/>
  <c r="E10" i="2"/>
  <c r="E6" i="2"/>
  <c r="E4" i="2"/>
  <c r="F9" i="2"/>
  <c r="F5" i="2"/>
  <c r="F7" i="2"/>
  <c r="F8" i="2"/>
  <c r="F11" i="2"/>
  <c r="F12" i="2"/>
  <c r="F10" i="2"/>
  <c r="F6" i="2"/>
  <c r="F4" i="2"/>
  <c r="I9" i="2"/>
  <c r="I5" i="2"/>
  <c r="I7" i="2"/>
  <c r="I8" i="2"/>
  <c r="I11" i="2"/>
  <c r="I12" i="2"/>
  <c r="I10" i="2"/>
  <c r="I6" i="2"/>
  <c r="I4" i="2"/>
  <c r="D13" i="2" l="1"/>
  <c r="C13" i="2"/>
  <c r="B13" i="2"/>
  <c r="A13" i="2"/>
  <c r="G9" i="2" l="1"/>
  <c r="G4" i="2"/>
  <c r="G5" i="2"/>
  <c r="G11" i="2"/>
  <c r="G7" i="2"/>
  <c r="G8" i="2"/>
  <c r="G6" i="2"/>
  <c r="G10" i="2"/>
  <c r="G12" i="2"/>
  <c r="F13" i="2"/>
  <c r="E13" i="2"/>
  <c r="H7" i="2" l="1"/>
  <c r="H4" i="2"/>
  <c r="H5" i="2"/>
  <c r="H6" i="2"/>
  <c r="H9" i="2"/>
  <c r="H8" i="2"/>
  <c r="H11" i="2"/>
  <c r="H12" i="2"/>
  <c r="H10" i="2"/>
</calcChain>
</file>

<file path=xl/sharedStrings.xml><?xml version="1.0" encoding="utf-8"?>
<sst xmlns="http://schemas.openxmlformats.org/spreadsheetml/2006/main" count="186" uniqueCount="45">
  <si>
    <t>Índice de envejecimiento – Provincia de San Luis · Censos 1980–2022</t>
  </si>
  <si>
    <t>Código</t>
  </si>
  <si>
    <t>Departamento</t>
  </si>
  <si>
    <t>1980</t>
  </si>
  <si>
    <t>1991</t>
  </si>
  <si>
    <t>2001</t>
  </si>
  <si>
    <t>2010</t>
  </si>
  <si>
    <t>2022</t>
  </si>
  <si>
    <t>Total</t>
  </si>
  <si>
    <t>Ayacucho</t>
  </si>
  <si>
    <t>Belgrano</t>
  </si>
  <si>
    <t>Chacabuco</t>
  </si>
  <si>
    <t>Coronel Pringles</t>
  </si>
  <si>
    <t>General Pedernera</t>
  </si>
  <si>
    <t>Gobernador Dupuy</t>
  </si>
  <si>
    <t>Juan Martín de Pueyrredón</t>
  </si>
  <si>
    <t>Junín</t>
  </si>
  <si>
    <t>Libertador General San Martín</t>
  </si>
  <si>
    <t>Indicadores derivados – Variación absoluta, relativa y ranking</t>
  </si>
  <si>
    <t>IE 2010 e IE 2022 se traen con fórmulas desde 'Datos base'. Las columnas E, F, G y H son fórmulas calculadas.</t>
  </si>
  <si>
    <t>IE 2010</t>
  </si>
  <si>
    <t>IE 2022</t>
  </si>
  <si>
    <t>Var. absoluta
(2022−2010)</t>
  </si>
  <si>
    <t>Var. relativa
(%)</t>
  </si>
  <si>
    <t>Ranking IE
2022</t>
  </si>
  <si>
    <t>Ranking Var.
absoluta</t>
  </si>
  <si>
    <t>—</t>
  </si>
  <si>
    <t>Año</t>
  </si>
  <si>
    <t>Fórmulas: Var. absoluta = D−C  |  Var. relativa = SI.ERROR((D−C)/C×100)  |  Ranking = JERARQUIA(D, $D$5:$D$13, 0)</t>
  </si>
  <si>
    <t>IE</t>
  </si>
  <si>
    <t>Etiquetas de fila</t>
  </si>
  <si>
    <t>Total general</t>
  </si>
  <si>
    <t>Etiquetas de columna</t>
  </si>
  <si>
    <t>Suma de IE</t>
  </si>
  <si>
    <t>Valor de IE</t>
  </si>
  <si>
    <t>Total provincial</t>
  </si>
  <si>
    <t>Referencia Provincial (IE = 47)</t>
  </si>
  <si>
    <t>Suma</t>
  </si>
  <si>
    <t>Promedio</t>
  </si>
  <si>
    <t>Recuento</t>
  </si>
  <si>
    <t>Sobre IE Provincial (&gt; 47)</t>
  </si>
  <si>
    <t>Bajo IE Provincial (&lt; 47)</t>
  </si>
  <si>
    <t>Índice de Envejecimiento</t>
  </si>
  <si>
    <t>Censos 1980–2022 · Análisis por departamento · Fuente: INDEC</t>
  </si>
  <si>
    <t>Segmentaciones correspondientes a "Evolución temporal por departamento 1980-2022".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</si>
</sst>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+0;\-0;0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Calibri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555555"/>
      <name val="Arial Rounded MT Bold"/>
      <family val="2"/>
    </font>
    <font>
      <sz val="10"/>
      <color theme="1"/>
      <name val="Arial Rounded MT Bold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6"/>
      <color rgb="FFFFFFFF"/>
      <name val="Bahnschrift SemiLight"/>
      <family val="2"/>
    </font>
    <font>
      <i/>
      <sz val="12"/>
      <color rgb="FFFFFFFF"/>
      <name val="Bahnschrift SemiLight"/>
      <family val="2"/>
    </font>
    <font>
      <i/>
      <sz val="9"/>
      <color theme="1"/>
      <name val="Bahnschrift Light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A3A5C"/>
      </patternFill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1A6B3A"/>
      </patternFill>
    </fill>
    <fill>
      <patternFill patternType="solid">
        <fgColor rgb="FFE67E22"/>
      </patternFill>
    </fill>
    <fill>
      <patternFill patternType="solid">
        <fgColor rgb="FFD6E4F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A3A5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49" fontId="3" fillId="0" borderId="2" xfId="0" applyNumberFormat="1" applyFont="1" applyBorder="1" applyAlignment="1">
      <alignment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/>
    </xf>
    <xf numFmtId="49" fontId="6" fillId="2" borderId="1" xfId="0" applyNumberFormat="1" applyFont="1" applyFill="1" applyBorder="1" applyAlignment="1" applyProtection="1">
      <alignment horizontal="right" vertical="center" wrapText="1"/>
      <protection locked="0"/>
    </xf>
    <xf numFmtId="49" fontId="7" fillId="2" borderId="1" xfId="0" applyNumberFormat="1" applyFont="1" applyFill="1" applyBorder="1" applyAlignment="1">
      <alignment horizontal="right" vertical="center"/>
    </xf>
    <xf numFmtId="49" fontId="3" fillId="0" borderId="0" xfId="0" applyNumberFormat="1" applyFont="1" applyAlignment="1">
      <alignment horizontal="left"/>
    </xf>
    <xf numFmtId="49" fontId="7" fillId="2" borderId="3" xfId="0" applyNumberFormat="1" applyFont="1" applyFill="1" applyBorder="1" applyAlignment="1">
      <alignment horizontal="right" vertical="center"/>
    </xf>
    <xf numFmtId="0" fontId="0" fillId="0" borderId="0" xfId="0"/>
    <xf numFmtId="0" fontId="10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left" vertical="center"/>
    </xf>
    <xf numFmtId="164" fontId="11" fillId="8" borderId="4" xfId="0" applyNumberFormat="1" applyFont="1" applyFill="1" applyBorder="1" applyAlignment="1">
      <alignment horizontal="center" vertical="center"/>
    </xf>
    <xf numFmtId="165" fontId="11" fillId="8" borderId="4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/>
    </xf>
    <xf numFmtId="164" fontId="12" fillId="9" borderId="4" xfId="0" applyNumberFormat="1" applyFont="1" applyFill="1" applyBorder="1" applyAlignment="1">
      <alignment horizontal="center" vertical="center"/>
    </xf>
    <xf numFmtId="165" fontId="12" fillId="9" borderId="4" xfId="0" applyNumberFormat="1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164" fontId="12" fillId="10" borderId="4" xfId="0" applyNumberFormat="1" applyFont="1" applyFill="1" applyBorder="1" applyAlignment="1">
      <alignment horizontal="center" vertical="center"/>
    </xf>
    <xf numFmtId="165" fontId="12" fillId="10" borderId="4" xfId="0" applyNumberFormat="1" applyFont="1" applyFill="1" applyBorder="1" applyAlignment="1">
      <alignment horizontal="center" vertical="center"/>
    </xf>
    <xf numFmtId="0" fontId="0" fillId="0" borderId="0" xfId="0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4" fillId="3" borderId="0" xfId="0" applyNumberFormat="1" applyFont="1" applyFill="1" applyAlignment="1">
      <alignment horizontal="center" vertical="center" wrapText="1"/>
    </xf>
    <xf numFmtId="0" fontId="0" fillId="0" borderId="0" xfId="0"/>
    <xf numFmtId="0" fontId="13" fillId="0" borderId="0" xfId="0" applyFont="1" applyAlignment="1">
      <alignment horizontal="left" vertical="center"/>
    </xf>
    <xf numFmtId="0" fontId="14" fillId="0" borderId="0" xfId="0" applyFont="1"/>
    <xf numFmtId="0" fontId="9" fillId="0" borderId="0" xfId="0" applyFont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16" fillId="0" borderId="0" xfId="0" applyFont="1"/>
    <xf numFmtId="0" fontId="10" fillId="7" borderId="0" xfId="0" applyFont="1" applyFill="1" applyBorder="1" applyAlignment="1">
      <alignment horizontal="center" vertical="center" wrapText="1"/>
    </xf>
    <xf numFmtId="0" fontId="11" fillId="8" borderId="0" xfId="0" applyFont="1" applyFill="1" applyBorder="1" applyAlignment="1">
      <alignment horizontal="center" vertical="center"/>
    </xf>
    <xf numFmtId="0" fontId="12" fillId="9" borderId="0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/>
    </xf>
    <xf numFmtId="0" fontId="12" fillId="9" borderId="6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0" fillId="0" borderId="0" xfId="0" applyAlignment="1"/>
    <xf numFmtId="0" fontId="12" fillId="9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7" fillId="12" borderId="0" xfId="0" applyFont="1" applyFill="1" applyBorder="1" applyAlignment="1">
      <alignment vertical="center" wrapText="1"/>
    </xf>
    <xf numFmtId="0" fontId="4" fillId="12" borderId="0" xfId="0" applyFont="1" applyFill="1" applyBorder="1" applyAlignment="1">
      <alignment vertical="center" wrapText="1"/>
    </xf>
    <xf numFmtId="0" fontId="0" fillId="12" borderId="0" xfId="0" applyFill="1"/>
    <xf numFmtId="0" fontId="18" fillId="11" borderId="0" xfId="0" applyFont="1" applyFill="1" applyBorder="1" applyAlignment="1">
      <alignment horizontal="center" vertical="center" wrapText="1"/>
    </xf>
    <xf numFmtId="0" fontId="19" fillId="11" borderId="0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vertical="center" wrapText="1"/>
    </xf>
    <xf numFmtId="0" fontId="18" fillId="12" borderId="0" xfId="0" applyFont="1" applyFill="1" applyBorder="1" applyAlignment="1">
      <alignment vertical="center" wrapText="1"/>
    </xf>
    <xf numFmtId="0" fontId="20" fillId="0" borderId="0" xfId="0" applyFont="1" applyAlignment="1">
      <alignment vertical="top"/>
    </xf>
    <xf numFmtId="0" fontId="20" fillId="0" borderId="0" xfId="0" applyFont="1" applyAlignment="1">
      <alignment horizontal="left" vertical="center"/>
    </xf>
  </cellXfs>
  <cellStyles count="1">
    <cellStyle name="Normal" xfId="0" builtinId="0"/>
  </cellStyles>
  <dxfs count="23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\+0;\-0;0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5F5F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</border>
    </dxf>
    <dxf>
      <alignment horizontal="center" vertical="bottom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  <border outline="0"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left" vertical="bottom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left" vertical="bottom"/>
    </dxf>
    <dxf>
      <border outline="0">
        <top style="thin">
          <color rgb="FF000000"/>
        </top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rgb="FF000000"/>
        <name val="Arial"/>
        <family val="2"/>
      </font>
      <numFmt numFmtId="30" formatCode="@"/>
      <fill>
        <patternFill patternType="solid">
          <fgColor indexed="64"/>
          <bgColor rgb="FFFFFFFF"/>
        </patternFill>
      </fill>
      <alignment horizontal="right" vertical="center"/>
    </dxf>
    <dxf>
      <border outline="0">
        <bottom style="thin">
          <color rgb="FF000000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family val="2"/>
      </font>
      <numFmt numFmtId="30" formatCode="@"/>
      <alignment horizontal="center" vertical="center" wrapText="1"/>
    </dxf>
  </dxfs>
  <tableStyles count="0" defaultTableStyle="TableStyleMedium2" defaultPivotStyle="PivotStyleLight16"/>
  <colors>
    <mruColors>
      <color rgb="FF1A3A5C"/>
      <color rgb="FF7AB8E0"/>
      <color rgb="FF5B9FD4"/>
      <color rgb="FFD6EEF8"/>
      <color rgb="FF1D9E75"/>
      <color rgb="FF2E6DA4"/>
      <color rgb="FFE67E22"/>
      <color rgb="FFBCE0F2"/>
      <color rgb="FF9DCCE8"/>
      <color rgb="FF3D85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[IE_SanLuis_v03.xlsx]TD Evolución!TablaDinámica1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AR" sz="1400" b="1" i="0" u="none" strike="noStrike" baseline="0">
                <a:solidFill>
                  <a:schemeClr val="tx1"/>
                </a:solidFill>
                <a:effectLst/>
                <a:latin typeface="Bahnschrift" panose="020B0502040204020203" pitchFamily="34" charset="0"/>
                <a:cs typeface="Arial" panose="020B0604020202020204" pitchFamily="34" charset="0"/>
              </a:rPr>
              <a:t>Evolución temporal por departamento 1980–2022 </a:t>
            </a:r>
            <a:endParaRPr lang="es-AR" sz="1400" b="1">
              <a:solidFill>
                <a:schemeClr val="tx1"/>
              </a:solidFill>
              <a:latin typeface="Bahnschrift" panose="020B0502040204020203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0558796457199547"/>
          <c:y val="2.18384570263864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5875" cap="rnd">
            <a:solidFill>
              <a:srgbClr val="D6EEF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5875" cap="rnd">
            <a:solidFill>
              <a:srgbClr val="BCE0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5875" cap="rnd">
            <a:solidFill>
              <a:srgbClr val="2E6DA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5875" cap="rnd">
            <a:solidFill>
              <a:srgbClr val="0D2B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31750" cap="rnd">
            <a:solidFill>
              <a:schemeClr val="tx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5875" cap="rnd">
            <a:solidFill>
              <a:srgbClr val="7AB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5875" cap="rnd">
            <a:solidFill>
              <a:srgbClr val="1A4A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5875" cap="rnd">
            <a:solidFill>
              <a:srgbClr val="3D85B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5875" cap="rnd">
            <a:solidFill>
              <a:srgbClr val="5B9FD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15875" cap="rnd">
            <a:solidFill>
              <a:srgbClr val="7AB8E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15875" cap="rnd">
            <a:solidFill>
              <a:srgbClr val="1A4A7A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15875" cap="rnd">
            <a:solidFill>
              <a:srgbClr val="3D85B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15875" cap="rnd">
            <a:solidFill>
              <a:srgbClr val="5B9FD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15875" cap="rnd">
            <a:solidFill>
              <a:srgbClr val="D6EEF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15875" cap="rnd">
            <a:solidFill>
              <a:srgbClr val="BCE0F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15875" cap="rnd">
            <a:solidFill>
              <a:srgbClr val="2E6DA4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15875" cap="rnd">
            <a:solidFill>
              <a:srgbClr val="0D2B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31750" cap="rnd">
            <a:solidFill>
              <a:schemeClr val="tx1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'TD Evolución'!$B$3:$B$4</c:f>
              <c:strCache>
                <c:ptCount val="1"/>
                <c:pt idx="0">
                  <c:v>Ayacucho</c:v>
                </c:pt>
              </c:strCache>
            </c:strRef>
          </c:tx>
          <c:spPr>
            <a:ln w="15875" cap="rnd">
              <a:solidFill>
                <a:srgbClr val="7AB8E0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Evolución'!$B$5:$B$10</c:f>
              <c:numCache>
                <c:formatCode>General</c:formatCode>
                <c:ptCount val="5"/>
                <c:pt idx="0">
                  <c:v>28</c:v>
                </c:pt>
                <c:pt idx="1">
                  <c:v>28</c:v>
                </c:pt>
                <c:pt idx="2">
                  <c:v>34</c:v>
                </c:pt>
                <c:pt idx="3">
                  <c:v>36</c:v>
                </c:pt>
                <c:pt idx="4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A5-4639-9230-34EB86767F6C}"/>
            </c:ext>
          </c:extLst>
        </c:ser>
        <c:ser>
          <c:idx val="1"/>
          <c:order val="1"/>
          <c:tx>
            <c:strRef>
              <c:f>'TD Evolución'!$C$3:$C$4</c:f>
              <c:strCache>
                <c:ptCount val="1"/>
                <c:pt idx="0">
                  <c:v>Belgrano</c:v>
                </c:pt>
              </c:strCache>
            </c:strRef>
          </c:tx>
          <c:spPr>
            <a:ln w="15875" cap="rnd">
              <a:solidFill>
                <a:srgbClr val="1A4A7A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Evolución'!$C$5:$C$10</c:f>
              <c:numCache>
                <c:formatCode>General</c:formatCode>
                <c:ptCount val="5"/>
                <c:pt idx="0">
                  <c:v>26</c:v>
                </c:pt>
                <c:pt idx="1">
                  <c:v>37</c:v>
                </c:pt>
                <c:pt idx="2">
                  <c:v>49</c:v>
                </c:pt>
                <c:pt idx="3">
                  <c:v>55</c:v>
                </c:pt>
                <c:pt idx="4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56A5-4639-9230-34EB86767F6C}"/>
            </c:ext>
          </c:extLst>
        </c:ser>
        <c:ser>
          <c:idx val="2"/>
          <c:order val="2"/>
          <c:tx>
            <c:strRef>
              <c:f>'TD Evolución'!$D$3:$D$4</c:f>
              <c:strCache>
                <c:ptCount val="1"/>
                <c:pt idx="0">
                  <c:v>Chacabuco</c:v>
                </c:pt>
              </c:strCache>
            </c:strRef>
          </c:tx>
          <c:spPr>
            <a:ln w="15875" cap="rnd">
              <a:solidFill>
                <a:srgbClr val="3D85BE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Evolución'!$D$5:$D$10</c:f>
              <c:numCache>
                <c:formatCode>General</c:formatCode>
                <c:ptCount val="5"/>
                <c:pt idx="0">
                  <c:v>25</c:v>
                </c:pt>
                <c:pt idx="1">
                  <c:v>26</c:v>
                </c:pt>
                <c:pt idx="2">
                  <c:v>28</c:v>
                </c:pt>
                <c:pt idx="3">
                  <c:v>40</c:v>
                </c:pt>
                <c:pt idx="4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6A5-4639-9230-34EB86767F6C}"/>
            </c:ext>
          </c:extLst>
        </c:ser>
        <c:ser>
          <c:idx val="3"/>
          <c:order val="3"/>
          <c:tx>
            <c:strRef>
              <c:f>'TD Evolución'!$E$3:$E$4</c:f>
              <c:strCache>
                <c:ptCount val="1"/>
                <c:pt idx="0">
                  <c:v>Coronel Pringles</c:v>
                </c:pt>
              </c:strCache>
            </c:strRef>
          </c:tx>
          <c:spPr>
            <a:ln w="15875" cap="rnd">
              <a:solidFill>
                <a:srgbClr val="5B9FD4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Evolución'!$E$5:$E$10</c:f>
              <c:numCache>
                <c:formatCode>General</c:formatCode>
                <c:ptCount val="5"/>
                <c:pt idx="0">
                  <c:v>25</c:v>
                </c:pt>
                <c:pt idx="1">
                  <c:v>25</c:v>
                </c:pt>
                <c:pt idx="2">
                  <c:v>31</c:v>
                </c:pt>
                <c:pt idx="3">
                  <c:v>37</c:v>
                </c:pt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56A5-4639-9230-34EB86767F6C}"/>
            </c:ext>
          </c:extLst>
        </c:ser>
        <c:ser>
          <c:idx val="4"/>
          <c:order val="4"/>
          <c:tx>
            <c:strRef>
              <c:f>'TD Evolución'!$F$3:$F$4</c:f>
              <c:strCache>
                <c:ptCount val="1"/>
                <c:pt idx="0">
                  <c:v>General Pedernera</c:v>
                </c:pt>
              </c:strCache>
            </c:strRef>
          </c:tx>
          <c:spPr>
            <a:ln w="158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Evolución'!$F$5:$F$10</c:f>
              <c:numCache>
                <c:formatCode>General</c:formatCode>
                <c:ptCount val="5"/>
                <c:pt idx="0">
                  <c:v>25</c:v>
                </c:pt>
                <c:pt idx="1">
                  <c:v>22</c:v>
                </c:pt>
                <c:pt idx="2">
                  <c:v>25</c:v>
                </c:pt>
                <c:pt idx="3">
                  <c:v>30</c:v>
                </c:pt>
                <c:pt idx="4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56A5-4639-9230-34EB86767F6C}"/>
            </c:ext>
          </c:extLst>
        </c:ser>
        <c:ser>
          <c:idx val="5"/>
          <c:order val="5"/>
          <c:tx>
            <c:strRef>
              <c:f>'TD Evolución'!$G$3:$G$4</c:f>
              <c:strCache>
                <c:ptCount val="1"/>
                <c:pt idx="0">
                  <c:v>Gobernador Dupuy</c:v>
                </c:pt>
              </c:strCache>
            </c:strRef>
          </c:tx>
          <c:spPr>
            <a:ln w="15875" cap="rnd">
              <a:solidFill>
                <a:srgbClr val="D6EEF8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Evolución'!$G$5:$G$10</c:f>
              <c:numCache>
                <c:formatCode>General</c:formatCode>
                <c:ptCount val="5"/>
                <c:pt idx="0">
                  <c:v>19</c:v>
                </c:pt>
                <c:pt idx="1">
                  <c:v>22</c:v>
                </c:pt>
                <c:pt idx="2">
                  <c:v>22</c:v>
                </c:pt>
                <c:pt idx="3">
                  <c:v>28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56A5-4639-9230-34EB86767F6C}"/>
            </c:ext>
          </c:extLst>
        </c:ser>
        <c:ser>
          <c:idx val="6"/>
          <c:order val="6"/>
          <c:tx>
            <c:strRef>
              <c:f>'TD Evolución'!$H$3:$H$4</c:f>
              <c:strCache>
                <c:ptCount val="1"/>
                <c:pt idx="0">
                  <c:v>Juan Martín de Pueyrredón</c:v>
                </c:pt>
              </c:strCache>
            </c:strRef>
          </c:tx>
          <c:spPr>
            <a:ln w="15875" cap="rnd">
              <a:solidFill>
                <a:srgbClr val="BCE0F2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Evolución'!$H$5:$H$10</c:f>
              <c:numCache>
                <c:formatCode>General</c:formatCode>
                <c:ptCount val="5"/>
                <c:pt idx="0">
                  <c:v>25</c:v>
                </c:pt>
                <c:pt idx="1">
                  <c:v>18</c:v>
                </c:pt>
                <c:pt idx="2">
                  <c:v>20</c:v>
                </c:pt>
                <c:pt idx="3">
                  <c:v>27</c:v>
                </c:pt>
                <c:pt idx="4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56A5-4639-9230-34EB86767F6C}"/>
            </c:ext>
          </c:extLst>
        </c:ser>
        <c:ser>
          <c:idx val="7"/>
          <c:order val="7"/>
          <c:tx>
            <c:strRef>
              <c:f>'TD Evolución'!$I$3:$I$4</c:f>
              <c:strCache>
                <c:ptCount val="1"/>
                <c:pt idx="0">
                  <c:v>Junín</c:v>
                </c:pt>
              </c:strCache>
            </c:strRef>
          </c:tx>
          <c:spPr>
            <a:ln w="15875" cap="rnd">
              <a:solidFill>
                <a:srgbClr val="2E6DA4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Evolución'!$I$5:$I$10</c:f>
              <c:numCache>
                <c:formatCode>General</c:formatCode>
                <c:ptCount val="5"/>
                <c:pt idx="0">
                  <c:v>30</c:v>
                </c:pt>
                <c:pt idx="1">
                  <c:v>31</c:v>
                </c:pt>
                <c:pt idx="2">
                  <c:v>37</c:v>
                </c:pt>
                <c:pt idx="3">
                  <c:v>49</c:v>
                </c:pt>
                <c:pt idx="4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56A5-4639-9230-34EB86767F6C}"/>
            </c:ext>
          </c:extLst>
        </c:ser>
        <c:ser>
          <c:idx val="8"/>
          <c:order val="8"/>
          <c:tx>
            <c:strRef>
              <c:f>'TD Evolución'!$J$3:$J$4</c:f>
              <c:strCache>
                <c:ptCount val="1"/>
                <c:pt idx="0">
                  <c:v>Libertador General San Martín</c:v>
                </c:pt>
              </c:strCache>
            </c:strRef>
          </c:tx>
          <c:spPr>
            <a:ln w="15875" cap="rnd">
              <a:solidFill>
                <a:srgbClr val="0D2B4E"/>
              </a:solidFill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Evolución'!$J$5:$J$10</c:f>
              <c:numCache>
                <c:formatCode>General</c:formatCode>
                <c:ptCount val="5"/>
                <c:pt idx="0">
                  <c:v>32</c:v>
                </c:pt>
                <c:pt idx="1">
                  <c:v>44</c:v>
                </c:pt>
                <c:pt idx="2">
                  <c:v>47</c:v>
                </c:pt>
                <c:pt idx="3">
                  <c:v>58</c:v>
                </c:pt>
                <c:pt idx="4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56A5-4639-9230-34EB86767F6C}"/>
            </c:ext>
          </c:extLst>
        </c:ser>
        <c:ser>
          <c:idx val="9"/>
          <c:order val="9"/>
          <c:tx>
            <c:strRef>
              <c:f>'TD Evolución'!$K$3:$K$4</c:f>
              <c:strCache>
                <c:ptCount val="1"/>
                <c:pt idx="0">
                  <c:v>Total provincial</c:v>
                </c:pt>
              </c:strCache>
            </c:strRef>
          </c:tx>
          <c:spPr>
            <a:ln w="317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'TD Evolución'!$A$5:$A$10</c:f>
              <c:strCache>
                <c:ptCount val="5"/>
                <c:pt idx="0">
                  <c:v>1980</c:v>
                </c:pt>
                <c:pt idx="1">
                  <c:v>1991</c:v>
                </c:pt>
                <c:pt idx="2">
                  <c:v>2001</c:v>
                </c:pt>
                <c:pt idx="3">
                  <c:v>2010</c:v>
                </c:pt>
                <c:pt idx="4">
                  <c:v>2022</c:v>
                </c:pt>
              </c:strCache>
            </c:strRef>
          </c:cat>
          <c:val>
            <c:numRef>
              <c:f>'TD Evolución'!$K$5:$K$10</c:f>
              <c:numCache>
                <c:formatCode>General</c:formatCode>
                <c:ptCount val="5"/>
                <c:pt idx="0">
                  <c:v>26</c:v>
                </c:pt>
                <c:pt idx="1">
                  <c:v>22</c:v>
                </c:pt>
                <c:pt idx="2">
                  <c:v>25</c:v>
                </c:pt>
                <c:pt idx="3">
                  <c:v>31</c:v>
                </c:pt>
                <c:pt idx="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6A5-4639-9230-34EB86767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3197080"/>
        <c:axId val="623195112"/>
      </c:lineChart>
      <c:catAx>
        <c:axId val="623197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3195112"/>
        <c:crosses val="autoZero"/>
        <c:auto val="1"/>
        <c:lblAlgn val="ctr"/>
        <c:lblOffset val="100"/>
        <c:noMultiLvlLbl val="0"/>
      </c:catAx>
      <c:valAx>
        <c:axId val="62319511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231970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s-AR" sz="1400" b="1">
                <a:solidFill>
                  <a:sysClr val="windowText" lastClr="000000"/>
                </a:solidFill>
                <a:effectLst/>
                <a:latin typeface="Bahnschrift" panose="020B0502040204020203" pitchFamily="34" charset="0"/>
              </a:rPr>
              <a:t>IE 2010 vs IE 2022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Indicadores!$C$3</c:f>
              <c:strCache>
                <c:ptCount val="1"/>
                <c:pt idx="0">
                  <c:v>IE 2010</c:v>
                </c:pt>
              </c:strCache>
            </c:strRef>
          </c:tx>
          <c:spPr>
            <a:solidFill>
              <a:srgbClr val="7AB8E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Indicadores!$C$4:$C$12</c:f>
              <c:numCache>
                <c:formatCode>General</c:formatCode>
                <c:ptCount val="9"/>
                <c:pt idx="0">
                  <c:v>58</c:v>
                </c:pt>
                <c:pt idx="1">
                  <c:v>55</c:v>
                </c:pt>
                <c:pt idx="2">
                  <c:v>49</c:v>
                </c:pt>
                <c:pt idx="3">
                  <c:v>40</c:v>
                </c:pt>
                <c:pt idx="4">
                  <c:v>37</c:v>
                </c:pt>
                <c:pt idx="5">
                  <c:v>36</c:v>
                </c:pt>
                <c:pt idx="6">
                  <c:v>27</c:v>
                </c:pt>
                <c:pt idx="7">
                  <c:v>30</c:v>
                </c:pt>
                <c:pt idx="8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D1-49F7-908D-249C603ACBAE}"/>
            </c:ext>
          </c:extLst>
        </c:ser>
        <c:ser>
          <c:idx val="1"/>
          <c:order val="1"/>
          <c:tx>
            <c:strRef>
              <c:f>Indicadores!$D$3</c:f>
              <c:strCache>
                <c:ptCount val="1"/>
                <c:pt idx="0">
                  <c:v>IE 2022</c:v>
                </c:pt>
              </c:strCache>
            </c:strRef>
          </c:tx>
          <c:spPr>
            <a:solidFill>
              <a:srgbClr val="1A3A5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Indicadores!$D$4:$D$12</c:f>
              <c:numCache>
                <c:formatCode>General</c:formatCode>
                <c:ptCount val="9"/>
                <c:pt idx="0">
                  <c:v>85</c:v>
                </c:pt>
                <c:pt idx="1">
                  <c:v>66</c:v>
                </c:pt>
                <c:pt idx="2">
                  <c:v>62</c:v>
                </c:pt>
                <c:pt idx="3">
                  <c:v>61</c:v>
                </c:pt>
                <c:pt idx="4">
                  <c:v>57</c:v>
                </c:pt>
                <c:pt idx="5">
                  <c:v>54</c:v>
                </c:pt>
                <c:pt idx="6">
                  <c:v>44</c:v>
                </c:pt>
                <c:pt idx="7">
                  <c:v>43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D1-49F7-908D-249C603ACB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435671952"/>
        <c:axId val="435672936"/>
      </c:barChart>
      <c:lineChart>
        <c:grouping val="stacked"/>
        <c:varyColors val="0"/>
        <c:ser>
          <c:idx val="2"/>
          <c:order val="2"/>
          <c:tx>
            <c:strRef>
              <c:f>Indicadores!$I$3</c:f>
              <c:strCache>
                <c:ptCount val="1"/>
                <c:pt idx="0">
                  <c:v>Referencia Provincial (IE = 47)</c:v>
                </c:pt>
              </c:strCache>
            </c:strRef>
          </c:tx>
          <c:spPr>
            <a:ln w="22225" cap="sq">
              <a:solidFill>
                <a:srgbClr val="E67E22"/>
              </a:solidFill>
              <a:prstDash val="sysDash"/>
              <a:round/>
              <a:headEnd type="none"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Indicadores!$I$4:$I$12</c:f>
              <c:numCache>
                <c:formatCode>General</c:formatCode>
                <c:ptCount val="9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1-49F7-908D-249C603ACBA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35671952"/>
        <c:axId val="435672936"/>
      </c:lineChart>
      <c:catAx>
        <c:axId val="43567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35672936"/>
        <c:crosses val="autoZero"/>
        <c:auto val="1"/>
        <c:lblAlgn val="ctr"/>
        <c:lblOffset val="100"/>
        <c:noMultiLvlLbl val="0"/>
      </c:catAx>
      <c:valAx>
        <c:axId val="435672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AR"/>
          </a:p>
        </c:txPr>
        <c:crossAx val="43567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s-AR" b="1">
                <a:solidFill>
                  <a:schemeClr val="tx1"/>
                </a:solidFill>
                <a:latin typeface="Bahnschrift" panose="020B0502040204020203" pitchFamily="34" charset="0"/>
              </a:rPr>
              <a:t>Ranking</a:t>
            </a:r>
            <a:r>
              <a:rPr lang="es-AR" b="1" baseline="0">
                <a:solidFill>
                  <a:schemeClr val="tx1"/>
                </a:solidFill>
                <a:latin typeface="Bahnschrift" panose="020B0502040204020203" pitchFamily="34" charset="0"/>
              </a:rPr>
              <a:t> Provincial</a:t>
            </a:r>
            <a:endParaRPr lang="es-AR" b="1">
              <a:solidFill>
                <a:schemeClr val="tx1"/>
              </a:solidFill>
              <a:latin typeface="Bahnschrift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Indicadores!$J$3</c:f>
              <c:strCache>
                <c:ptCount val="1"/>
                <c:pt idx="0">
                  <c:v>Sobre IE Provincial (&gt; 47)</c:v>
                </c:pt>
              </c:strCache>
            </c:strRef>
          </c:tx>
          <c:spPr>
            <a:solidFill>
              <a:srgbClr val="2E6DA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Indicadores!$J$4:$J$12</c:f>
              <c:numCache>
                <c:formatCode>General</c:formatCode>
                <c:ptCount val="9"/>
                <c:pt idx="0">
                  <c:v>85</c:v>
                </c:pt>
                <c:pt idx="1">
                  <c:v>66</c:v>
                </c:pt>
                <c:pt idx="2">
                  <c:v>62</c:v>
                </c:pt>
                <c:pt idx="3">
                  <c:v>61</c:v>
                </c:pt>
                <c:pt idx="4">
                  <c:v>57</c:v>
                </c:pt>
                <c:pt idx="5">
                  <c:v>54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6-44E0-980A-E95667E4E6BD}"/>
            </c:ext>
          </c:extLst>
        </c:ser>
        <c:ser>
          <c:idx val="1"/>
          <c:order val="1"/>
          <c:tx>
            <c:strRef>
              <c:f>Indicadores!$K$3</c:f>
              <c:strCache>
                <c:ptCount val="1"/>
                <c:pt idx="0">
                  <c:v>Bajo IE Provincial (&lt; 47)</c:v>
                </c:pt>
              </c:strCache>
            </c:strRef>
          </c:tx>
          <c:spPr>
            <a:solidFill>
              <a:srgbClr val="1D9E7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Indicadores!$B$4:$B$12</c:f>
              <c:strCache>
                <c:ptCount val="9"/>
                <c:pt idx="0">
                  <c:v>Libertador General San Martín</c:v>
                </c:pt>
                <c:pt idx="1">
                  <c:v>Belgrano</c:v>
                </c:pt>
                <c:pt idx="2">
                  <c:v>Junín</c:v>
                </c:pt>
                <c:pt idx="3">
                  <c:v>Chacabuco</c:v>
                </c:pt>
                <c:pt idx="4">
                  <c:v>Coronel Pringles</c:v>
                </c:pt>
                <c:pt idx="5">
                  <c:v>Ayacucho</c:v>
                </c:pt>
                <c:pt idx="6">
                  <c:v>Juan Martín de Pueyrredón</c:v>
                </c:pt>
                <c:pt idx="7">
                  <c:v>General Pedernera</c:v>
                </c:pt>
                <c:pt idx="8">
                  <c:v>Gobernador Dupuy</c:v>
                </c:pt>
              </c:strCache>
            </c:strRef>
          </c:cat>
          <c:val>
            <c:numRef>
              <c:f>Indicadores!$K$4:$K$12</c:f>
              <c:numCache>
                <c:formatCode>General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44</c:v>
                </c:pt>
                <c:pt idx="7">
                  <c:v>43</c:v>
                </c:pt>
                <c:pt idx="8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6-44E0-980A-E95667E4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3667600"/>
        <c:axId val="633673176"/>
      </c:barChart>
      <c:catAx>
        <c:axId val="633667600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3673176"/>
        <c:crosses val="autoZero"/>
        <c:auto val="1"/>
        <c:lblAlgn val="ctr"/>
        <c:lblOffset val="100"/>
        <c:noMultiLvlLbl val="0"/>
      </c:catAx>
      <c:valAx>
        <c:axId val="633673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63366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28</xdr:row>
      <xdr:rowOff>24652</xdr:rowOff>
    </xdr:from>
    <xdr:to>
      <xdr:col>21</xdr:col>
      <xdr:colOff>359709</xdr:colOff>
      <xdr:row>48</xdr:row>
      <xdr:rowOff>86113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E813ABFE-5A37-4481-91AD-8EC54FFE5D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498922</xdr:colOff>
      <xdr:row>5</xdr:row>
      <xdr:rowOff>3361</xdr:rowOff>
    </xdr:from>
    <xdr:to>
      <xdr:col>21</xdr:col>
      <xdr:colOff>354922</xdr:colOff>
      <xdr:row>28</xdr:row>
      <xdr:rowOff>20302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20747FC0-8130-424D-B24A-C0AA6436E01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</xdr:row>
      <xdr:rowOff>3361</xdr:rowOff>
    </xdr:from>
    <xdr:to>
      <xdr:col>9</xdr:col>
      <xdr:colOff>525150</xdr:colOff>
      <xdr:row>28</xdr:row>
      <xdr:rowOff>20302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B5BDCFC8-FAB7-4281-B6A5-0B85FF80383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7040</xdr:colOff>
      <xdr:row>48</xdr:row>
      <xdr:rowOff>84727</xdr:rowOff>
    </xdr:from>
    <xdr:to>
      <xdr:col>7</xdr:col>
      <xdr:colOff>702365</xdr:colOff>
      <xdr:row>64</xdr:row>
      <xdr:rowOff>14227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Departamento">
              <a:extLst>
                <a:ext uri="{FF2B5EF4-FFF2-40B4-BE49-F238E27FC236}">
                  <a16:creationId xmlns:a16="http://schemas.microsoft.com/office/drawing/2014/main" id="{CF77100D-2790-4583-A8C1-200505BA69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4015" y="9724027"/>
              <a:ext cx="3743325" cy="316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696044</xdr:colOff>
      <xdr:row>48</xdr:row>
      <xdr:rowOff>87608</xdr:rowOff>
    </xdr:from>
    <xdr:to>
      <xdr:col>13</xdr:col>
      <xdr:colOff>683315</xdr:colOff>
      <xdr:row>52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963B32A1-D8EA-42BF-AC00-8C34CFE574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11019" y="9726908"/>
              <a:ext cx="4559271" cy="702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11PRO" refreshedDate="46096.023386458335" createdVersion="6" refreshedVersion="6" minRefreshableVersion="3" recordCount="50" xr:uid="{096E523E-E4D3-462B-ADF2-5C0984433283}">
  <cacheSource type="worksheet">
    <worksheetSource name="Tabla2"/>
  </cacheSource>
  <cacheFields count="4">
    <cacheField name="Código" numFmtId="0">
      <sharedItems containsSemiMixedTypes="0" containsString="0" containsNumber="1" containsInteger="1" minValue="74" maxValue="74063"/>
    </cacheField>
    <cacheField name="Departamento" numFmtId="0">
      <sharedItems count="11">
        <s v="Total provincial"/>
        <s v="Ayacucho"/>
        <s v="Belgrano"/>
        <s v="Chacabuco"/>
        <s v="Coronel Pringles"/>
        <s v="General Pedernera"/>
        <s v="Gobernador Dupuy"/>
        <s v="Juan Martín de Pueyrredón"/>
        <s v="Junín"/>
        <s v="Libertador General San Martín"/>
        <s v="Total" u="1"/>
      </sharedItems>
    </cacheField>
    <cacheField name="Año" numFmtId="0">
      <sharedItems count="5">
        <s v="1980"/>
        <s v="1991"/>
        <s v="2001"/>
        <s v="2010"/>
        <s v="2022"/>
      </sharedItems>
    </cacheField>
    <cacheField name="IE" numFmtId="0">
      <sharedItems containsSemiMixedTypes="0" containsString="0" containsNumber="1" containsInteger="1" minValue="18" maxValue="85"/>
    </cacheField>
  </cacheFields>
  <extLst>
    <ext xmlns:x14="http://schemas.microsoft.com/office/spreadsheetml/2009/9/main" uri="{725AE2AE-9491-48be-B2B4-4EB974FC3084}">
      <x14:pivotCacheDefinition pivotCacheId="12184011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74"/>
    <x v="0"/>
    <x v="0"/>
    <n v="26"/>
  </r>
  <r>
    <n v="74"/>
    <x v="0"/>
    <x v="1"/>
    <n v="22"/>
  </r>
  <r>
    <n v="74"/>
    <x v="0"/>
    <x v="2"/>
    <n v="25"/>
  </r>
  <r>
    <n v="74"/>
    <x v="0"/>
    <x v="3"/>
    <n v="31"/>
  </r>
  <r>
    <n v="74"/>
    <x v="0"/>
    <x v="4"/>
    <n v="47"/>
  </r>
  <r>
    <n v="74007"/>
    <x v="1"/>
    <x v="0"/>
    <n v="28"/>
  </r>
  <r>
    <n v="74007"/>
    <x v="1"/>
    <x v="1"/>
    <n v="28"/>
  </r>
  <r>
    <n v="74007"/>
    <x v="1"/>
    <x v="2"/>
    <n v="34"/>
  </r>
  <r>
    <n v="74007"/>
    <x v="1"/>
    <x v="3"/>
    <n v="36"/>
  </r>
  <r>
    <n v="74007"/>
    <x v="1"/>
    <x v="4"/>
    <n v="54"/>
  </r>
  <r>
    <n v="74014"/>
    <x v="2"/>
    <x v="0"/>
    <n v="26"/>
  </r>
  <r>
    <n v="74014"/>
    <x v="2"/>
    <x v="1"/>
    <n v="37"/>
  </r>
  <r>
    <n v="74014"/>
    <x v="2"/>
    <x v="2"/>
    <n v="49"/>
  </r>
  <r>
    <n v="74014"/>
    <x v="2"/>
    <x v="3"/>
    <n v="55"/>
  </r>
  <r>
    <n v="74014"/>
    <x v="2"/>
    <x v="4"/>
    <n v="66"/>
  </r>
  <r>
    <n v="74028"/>
    <x v="3"/>
    <x v="0"/>
    <n v="25"/>
  </r>
  <r>
    <n v="74028"/>
    <x v="3"/>
    <x v="1"/>
    <n v="26"/>
  </r>
  <r>
    <n v="74028"/>
    <x v="3"/>
    <x v="2"/>
    <n v="28"/>
  </r>
  <r>
    <n v="74028"/>
    <x v="3"/>
    <x v="3"/>
    <n v="40"/>
  </r>
  <r>
    <n v="74028"/>
    <x v="3"/>
    <x v="4"/>
    <n v="61"/>
  </r>
  <r>
    <n v="74021"/>
    <x v="4"/>
    <x v="0"/>
    <n v="25"/>
  </r>
  <r>
    <n v="74021"/>
    <x v="4"/>
    <x v="1"/>
    <n v="25"/>
  </r>
  <r>
    <n v="74021"/>
    <x v="4"/>
    <x v="2"/>
    <n v="31"/>
  </r>
  <r>
    <n v="74021"/>
    <x v="4"/>
    <x v="3"/>
    <n v="37"/>
  </r>
  <r>
    <n v="74021"/>
    <x v="4"/>
    <x v="4"/>
    <n v="57"/>
  </r>
  <r>
    <n v="74035"/>
    <x v="5"/>
    <x v="0"/>
    <n v="25"/>
  </r>
  <r>
    <n v="74035"/>
    <x v="5"/>
    <x v="1"/>
    <n v="22"/>
  </r>
  <r>
    <n v="74035"/>
    <x v="5"/>
    <x v="2"/>
    <n v="25"/>
  </r>
  <r>
    <n v="74035"/>
    <x v="5"/>
    <x v="3"/>
    <n v="30"/>
  </r>
  <r>
    <n v="74035"/>
    <x v="5"/>
    <x v="4"/>
    <n v="43"/>
  </r>
  <r>
    <n v="74042"/>
    <x v="6"/>
    <x v="0"/>
    <n v="19"/>
  </r>
  <r>
    <n v="74042"/>
    <x v="6"/>
    <x v="1"/>
    <n v="22"/>
  </r>
  <r>
    <n v="74042"/>
    <x v="6"/>
    <x v="2"/>
    <n v="22"/>
  </r>
  <r>
    <n v="74042"/>
    <x v="6"/>
    <x v="3"/>
    <n v="28"/>
  </r>
  <r>
    <n v="74042"/>
    <x v="6"/>
    <x v="4"/>
    <n v="38"/>
  </r>
  <r>
    <n v="74056"/>
    <x v="7"/>
    <x v="0"/>
    <n v="25"/>
  </r>
  <r>
    <n v="74056"/>
    <x v="7"/>
    <x v="1"/>
    <n v="18"/>
  </r>
  <r>
    <n v="74056"/>
    <x v="7"/>
    <x v="2"/>
    <n v="20"/>
  </r>
  <r>
    <n v="74056"/>
    <x v="7"/>
    <x v="3"/>
    <n v="27"/>
  </r>
  <r>
    <n v="74056"/>
    <x v="7"/>
    <x v="4"/>
    <n v="44"/>
  </r>
  <r>
    <n v="74049"/>
    <x v="8"/>
    <x v="0"/>
    <n v="30"/>
  </r>
  <r>
    <n v="74049"/>
    <x v="8"/>
    <x v="1"/>
    <n v="31"/>
  </r>
  <r>
    <n v="74049"/>
    <x v="8"/>
    <x v="2"/>
    <n v="37"/>
  </r>
  <r>
    <n v="74049"/>
    <x v="8"/>
    <x v="3"/>
    <n v="49"/>
  </r>
  <r>
    <n v="74049"/>
    <x v="8"/>
    <x v="4"/>
    <n v="62"/>
  </r>
  <r>
    <n v="74063"/>
    <x v="9"/>
    <x v="0"/>
    <n v="32"/>
  </r>
  <r>
    <n v="74063"/>
    <x v="9"/>
    <x v="1"/>
    <n v="44"/>
  </r>
  <r>
    <n v="74063"/>
    <x v="9"/>
    <x v="2"/>
    <n v="47"/>
  </r>
  <r>
    <n v="74063"/>
    <x v="9"/>
    <x v="3"/>
    <n v="58"/>
  </r>
  <r>
    <n v="74063"/>
    <x v="9"/>
    <x v="4"/>
    <n v="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25C0EF-8ACA-40F7-B1C0-8EC7D3D1FD7D}" name="TablaDinámica1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2">
  <location ref="A3:L10" firstHeaderRow="1" firstDataRow="2" firstDataCol="1"/>
  <pivotFields count="4">
    <pivotField showAll="0"/>
    <pivotField axis="axisCol" showAll="0">
      <items count="12">
        <item x="1"/>
        <item x="2"/>
        <item x="3"/>
        <item x="4"/>
        <item x="5"/>
        <item x="6"/>
        <item x="7"/>
        <item x="8"/>
        <item x="9"/>
        <item m="1" x="10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colItems>
  <dataFields count="1">
    <dataField name="Valor de IE" fld="3" subtotal="average" baseField="1" baseItem="0"/>
  </dataFields>
  <chartFormats count="11"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B9CF3-B5DA-4E64-81A5-54220C2D645D}" name="TablaDinámica2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8:G30" firstHeaderRow="1" firstDataRow="2" firstDataCol="1"/>
  <pivotFields count="4">
    <pivotField showAll="0"/>
    <pivotField axis="axisRow" showAll="0">
      <items count="12">
        <item x="1"/>
        <item x="2"/>
        <item x="3"/>
        <item x="4"/>
        <item x="5"/>
        <item x="6"/>
        <item x="7"/>
        <item x="8"/>
        <item x="9"/>
        <item m="1" x="10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IE" fld="3" showDataAs="difference" baseField="2" baseItem="104882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78D02C1B-BD5E-41F0-AE7C-8E0B2668FFB7}" sourceName="Departamento">
  <pivotTables>
    <pivotTable tabId="4" name="TablaDinámica1"/>
    <pivotTable tabId="4" name="TablaDinámica2"/>
  </pivotTables>
  <data>
    <tabular pivotCacheId="1218401191">
      <items count="11">
        <i x="1" s="1"/>
        <i x="2" s="1"/>
        <i x="3" s="1"/>
        <i x="4" s="1"/>
        <i x="5" s="1"/>
        <i x="6" s="1"/>
        <i x="7" s="1"/>
        <i x="8" s="1"/>
        <i x="9" s="1"/>
        <i x="0" s="1"/>
        <i x="1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1C71524A-21A0-4B7E-A723-E93A7013DEAB}" sourceName="Año">
  <pivotTables>
    <pivotTable tabId="4" name="TablaDinámica1"/>
    <pivotTable tabId="4" name="TablaDinámica2"/>
  </pivotTables>
  <data>
    <tabular pivotCacheId="1218401191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amento" xr10:uid="{8B8FD4E6-BEA8-4D98-B0DA-E6928056074A}" cache="SegmentaciónDeDatos_Departamento" caption="Departamento" startItem="1" style="SlicerStyleDark1" rowHeight="241300"/>
  <slicer name="Año" xr10:uid="{38726369-9845-4413-8604-5CDB884EA9BE}" cache="SegmentaciónDeDatos_Año" caption="Año" columnCount="5" style="SlicerStyleDark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datos_base" displayName="tbl_datos_base" ref="A2:G12" totalsRowShown="0" headerRowDxfId="22" dataDxfId="20" headerRowBorderDxfId="21" tableBorderDxfId="19">
  <autoFilter ref="A2:G12" xr:uid="{00000000-0009-0000-0100-000001000000}"/>
  <tableColumns count="7">
    <tableColumn id="1" xr3:uid="{00000000-0010-0000-0000-000001000000}" name="Código" dataDxfId="18"/>
    <tableColumn id="2" xr3:uid="{00000000-0010-0000-0000-000002000000}" name="Departamento" dataDxfId="17"/>
    <tableColumn id="3" xr3:uid="{00000000-0010-0000-0000-000003000000}" name="1980" dataDxfId="16"/>
    <tableColumn id="4" xr3:uid="{00000000-0010-0000-0000-000004000000}" name="1991" dataDxfId="15"/>
    <tableColumn id="5" xr3:uid="{00000000-0010-0000-0000-000005000000}" name="2001" dataDxfId="14"/>
    <tableColumn id="6" xr3:uid="{00000000-0010-0000-0000-000006000000}" name="2010" dataDxfId="13"/>
    <tableColumn id="7" xr3:uid="{00000000-0010-0000-0000-000007000000}" name="2022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B5934B-FF05-40C1-B207-187591833F01}" name="Tabla2" displayName="Tabla2" ref="A1:D51" totalsRowShown="0">
  <autoFilter ref="A1:D51" xr:uid="{9BD84842-39C1-49C0-8B7D-7CE04FADBFED}"/>
  <tableColumns count="4">
    <tableColumn id="1" xr3:uid="{779D6945-AD5E-45C6-9FED-6DF84B1D1D91}" name="Código"/>
    <tableColumn id="2" xr3:uid="{96B243D2-F081-43F7-B2AC-4670733E5D34}" name="Departamento"/>
    <tableColumn id="3" xr3:uid="{3286FD49-FC74-41CD-95B3-0BC34D94F4A5}" name="Año"/>
    <tableColumn id="4" xr3:uid="{7C6DDE0F-DF73-43D8-886E-F795137ED3D9}" name="IE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DD205C-C525-48EA-9B11-D2B525172ED7}" name="Tabla3" displayName="Tabla3" ref="A3:J13" totalsRowShown="0" tableBorderDxfId="10">
  <autoFilter ref="A3:J13" xr:uid="{92801B63-9949-4FAD-A115-2BA00703E7C0}"/>
  <sortState ref="A4:I13">
    <sortCondition descending="1" ref="D4:D13"/>
  </sortState>
  <tableColumns count="10">
    <tableColumn id="1" xr3:uid="{20DDF962-F49C-425A-ACBB-5D5495439CD6}" name="Código" dataDxfId="7">
      <calculatedColumnFormula>'Datos base'!A4</calculatedColumnFormula>
    </tableColumn>
    <tableColumn id="2" xr3:uid="{932355CE-4A7E-44CC-9979-D3C13AC77F08}" name="Departamento" dataDxfId="6">
      <calculatedColumnFormula>'Datos base'!B4</calculatedColumnFormula>
    </tableColumn>
    <tableColumn id="3" xr3:uid="{F9C633E3-227E-41E1-9EFF-41246E37C3AC}" name="IE 2010" dataDxfId="9">
      <calculatedColumnFormula>'Datos base'!F3</calculatedColumnFormula>
    </tableColumn>
    <tableColumn id="4" xr3:uid="{A469218B-F750-4ABF-9A56-4E7E021CA979}" name="IE 2022" dataDxfId="8">
      <calculatedColumnFormula>'Datos base'!G3</calculatedColumnFormula>
    </tableColumn>
    <tableColumn id="5" xr3:uid="{22AA691D-3291-4E94-99D0-ABF53B682F1C}" name="Var. absoluta_x000a_(2022−2010)" dataDxfId="5">
      <calculatedColumnFormula>D4-C4</calculatedColumnFormula>
    </tableColumn>
    <tableColumn id="6" xr3:uid="{E9249C1F-A735-4322-850B-BD7EAFB5ADC4}" name="Var. relativa_x000a_(%)" dataDxfId="4">
      <calculatedColumnFormula>IFERROR((D4-C4)/C4*100,"")</calculatedColumnFormula>
    </tableColumn>
    <tableColumn id="7" xr3:uid="{069C69A5-328B-4DE3-82FB-CEB3A0505D04}" name="Ranking IE_x000a_2022" dataDxfId="3">
      <calculatedColumnFormula>RANK(D4,$D$4:$D$12,0)</calculatedColumnFormula>
    </tableColumn>
    <tableColumn id="8" xr3:uid="{A71D96E3-DFDA-4541-B5D5-C4E7F5E588E8}" name="Ranking Var._x000a_absoluta" dataDxfId="2">
      <calculatedColumnFormula>RANK(E4,$E$4:$E$12,0)</calculatedColumnFormula>
    </tableColumn>
    <tableColumn id="9" xr3:uid="{B21B4D9A-CBD5-44A2-BB6E-AA90D8B5E98C}" name="Referencia Provincial (IE = 47)" dataDxfId="1">
      <calculatedColumnFormula>47</calculatedColumnFormula>
    </tableColumn>
    <tableColumn id="10" xr3:uid="{480AE1C6-B89E-4484-AF9F-A34C4FFB092C}" name="Sobre IE Provincial (&gt; 47)" dataDxfId="0">
      <calculatedColumnFormula>IF(D4 &gt; 47, D4, NA())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6"/>
  <dimension ref="A1:I36"/>
  <sheetViews>
    <sheetView showGridLines="0" zoomScale="180" zoomScaleNormal="180" workbookViewId="0">
      <selection activeCell="A2" sqref="A2:G12"/>
    </sheetView>
  </sheetViews>
  <sheetFormatPr baseColWidth="10" defaultRowHeight="15" x14ac:dyDescent="0.25"/>
  <cols>
    <col min="1" max="2" width="23.28515625" style="10" customWidth="1"/>
    <col min="9" max="9" width="12.7109375" style="10" customWidth="1"/>
  </cols>
  <sheetData>
    <row r="1" spans="1:9" ht="22.5" customHeight="1" x14ac:dyDescent="0.25">
      <c r="A1" s="33" t="s">
        <v>0</v>
      </c>
      <c r="B1" s="34"/>
      <c r="C1" s="34"/>
      <c r="D1" s="34"/>
      <c r="E1" s="34"/>
      <c r="F1" s="34"/>
      <c r="G1" s="34"/>
    </row>
    <row r="2" spans="1:9" ht="15" customHeight="1" x14ac:dyDescent="0.25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9" x14ac:dyDescent="0.25">
      <c r="A3" s="5">
        <v>74</v>
      </c>
      <c r="B3" s="5" t="s">
        <v>8</v>
      </c>
      <c r="C3" s="6">
        <v>26</v>
      </c>
      <c r="D3" s="6">
        <v>22</v>
      </c>
      <c r="E3" s="6">
        <v>25</v>
      </c>
      <c r="F3" s="6">
        <v>31</v>
      </c>
      <c r="G3" s="6">
        <v>47</v>
      </c>
    </row>
    <row r="4" spans="1:9" x14ac:dyDescent="0.25">
      <c r="A4" s="8">
        <v>74007</v>
      </c>
      <c r="B4" s="8" t="s">
        <v>9</v>
      </c>
      <c r="C4" s="7">
        <v>28</v>
      </c>
      <c r="D4" s="7">
        <v>28</v>
      </c>
      <c r="E4" s="7">
        <v>34</v>
      </c>
      <c r="F4" s="7">
        <v>36</v>
      </c>
      <c r="G4" s="7">
        <v>54</v>
      </c>
    </row>
    <row r="5" spans="1:9" x14ac:dyDescent="0.25">
      <c r="A5" s="8">
        <v>74014</v>
      </c>
      <c r="B5" s="8" t="s">
        <v>10</v>
      </c>
      <c r="C5" s="7">
        <v>26</v>
      </c>
      <c r="D5" s="7">
        <v>37</v>
      </c>
      <c r="E5" s="7">
        <v>49</v>
      </c>
      <c r="F5" s="7">
        <v>55</v>
      </c>
      <c r="G5" s="7">
        <v>66</v>
      </c>
    </row>
    <row r="6" spans="1:9" x14ac:dyDescent="0.25">
      <c r="A6" s="8">
        <v>74028</v>
      </c>
      <c r="B6" s="8" t="s">
        <v>11</v>
      </c>
      <c r="C6" s="7">
        <v>25</v>
      </c>
      <c r="D6" s="7">
        <v>26</v>
      </c>
      <c r="E6" s="7">
        <v>28</v>
      </c>
      <c r="F6" s="7">
        <v>40</v>
      </c>
      <c r="G6" s="7">
        <v>61</v>
      </c>
    </row>
    <row r="7" spans="1:9" x14ac:dyDescent="0.25">
      <c r="A7" s="8">
        <v>74021</v>
      </c>
      <c r="B7" s="8" t="s">
        <v>12</v>
      </c>
      <c r="C7" s="7">
        <v>25</v>
      </c>
      <c r="D7" s="7">
        <v>25</v>
      </c>
      <c r="E7" s="7">
        <v>31</v>
      </c>
      <c r="F7" s="7">
        <v>37</v>
      </c>
      <c r="G7" s="7">
        <v>57</v>
      </c>
    </row>
    <row r="8" spans="1:9" x14ac:dyDescent="0.25">
      <c r="A8" s="8">
        <v>74035</v>
      </c>
      <c r="B8" s="8" t="s">
        <v>13</v>
      </c>
      <c r="C8" s="7">
        <v>25</v>
      </c>
      <c r="D8" s="7">
        <v>22</v>
      </c>
      <c r="E8" s="7">
        <v>25</v>
      </c>
      <c r="F8" s="7">
        <v>30</v>
      </c>
      <c r="G8" s="7">
        <v>43</v>
      </c>
    </row>
    <row r="9" spans="1:9" x14ac:dyDescent="0.25">
      <c r="A9" s="8">
        <v>74042</v>
      </c>
      <c r="B9" s="8" t="s">
        <v>14</v>
      </c>
      <c r="C9" s="7">
        <v>19</v>
      </c>
      <c r="D9" s="7">
        <v>22</v>
      </c>
      <c r="E9" s="7">
        <v>22</v>
      </c>
      <c r="F9" s="7">
        <v>28</v>
      </c>
      <c r="G9" s="7">
        <v>38</v>
      </c>
    </row>
    <row r="10" spans="1:9" x14ac:dyDescent="0.25">
      <c r="A10" s="8">
        <v>74056</v>
      </c>
      <c r="B10" s="8" t="s">
        <v>15</v>
      </c>
      <c r="C10" s="7">
        <v>25</v>
      </c>
      <c r="D10" s="7">
        <v>18</v>
      </c>
      <c r="E10" s="7">
        <v>20</v>
      </c>
      <c r="F10" s="7">
        <v>27</v>
      </c>
      <c r="G10" s="7">
        <v>44</v>
      </c>
    </row>
    <row r="11" spans="1:9" x14ac:dyDescent="0.25">
      <c r="A11" s="8">
        <v>74049</v>
      </c>
      <c r="B11" s="8" t="s">
        <v>16</v>
      </c>
      <c r="C11" s="7">
        <v>30</v>
      </c>
      <c r="D11" s="7">
        <v>31</v>
      </c>
      <c r="E11" s="7">
        <v>37</v>
      </c>
      <c r="F11" s="7">
        <v>49</v>
      </c>
      <c r="G11" s="7">
        <v>62</v>
      </c>
    </row>
    <row r="12" spans="1:9" x14ac:dyDescent="0.25">
      <c r="A12" s="8">
        <v>74063</v>
      </c>
      <c r="B12" s="8" t="s">
        <v>17</v>
      </c>
      <c r="C12" s="9">
        <v>32</v>
      </c>
      <c r="D12" s="9">
        <v>44</v>
      </c>
      <c r="E12" s="9">
        <v>47</v>
      </c>
      <c r="F12" s="9">
        <v>58</v>
      </c>
      <c r="G12" s="9">
        <v>85</v>
      </c>
    </row>
    <row r="13" spans="1:9" x14ac:dyDescent="0.25">
      <c r="A13" s="2"/>
      <c r="B13" s="2"/>
      <c r="C13" s="2"/>
      <c r="D13" s="2"/>
      <c r="E13" s="2"/>
      <c r="F13" s="2"/>
      <c r="G13" s="2"/>
      <c r="H13" s="1"/>
      <c r="I13"/>
    </row>
    <row r="14" spans="1:9" x14ac:dyDescent="0.25">
      <c r="H14" s="1"/>
    </row>
    <row r="15" spans="1:9" x14ac:dyDescent="0.25">
      <c r="H15" s="1"/>
    </row>
    <row r="16" spans="1:9" x14ac:dyDescent="0.25">
      <c r="H16" s="1"/>
    </row>
    <row r="17" spans="8:8" x14ac:dyDescent="0.25">
      <c r="H17" s="1"/>
    </row>
    <row r="18" spans="8:8" ht="13.35" customHeight="1" x14ac:dyDescent="0.25">
      <c r="H18" s="1"/>
    </row>
    <row r="19" spans="8:8" ht="13.35" customHeight="1" x14ac:dyDescent="0.25">
      <c r="H19" s="1"/>
    </row>
    <row r="20" spans="8:8" ht="13.35" customHeight="1" x14ac:dyDescent="0.25">
      <c r="H20" s="1"/>
    </row>
    <row r="21" spans="8:8" ht="13.35" customHeight="1" x14ac:dyDescent="0.25">
      <c r="H21" s="1"/>
    </row>
    <row r="22" spans="8:8" ht="13.35" customHeight="1" x14ac:dyDescent="0.25">
      <c r="H22" s="1"/>
    </row>
    <row r="23" spans="8:8" ht="13.35" customHeight="1" x14ac:dyDescent="0.25">
      <c r="H23" s="1"/>
    </row>
    <row r="24" spans="8:8" ht="13.35" customHeight="1" x14ac:dyDescent="0.25">
      <c r="H24" s="1"/>
    </row>
    <row r="25" spans="8:8" ht="13.35" customHeight="1" x14ac:dyDescent="0.25">
      <c r="H25" s="1"/>
    </row>
    <row r="26" spans="8:8" ht="13.35" customHeight="1" x14ac:dyDescent="0.25">
      <c r="H26" s="1"/>
    </row>
    <row r="27" spans="8:8" ht="13.35" customHeight="1" x14ac:dyDescent="0.25">
      <c r="H27" s="1"/>
    </row>
    <row r="28" spans="8:8" ht="13.35" customHeight="1" x14ac:dyDescent="0.25">
      <c r="H28" s="1"/>
    </row>
    <row r="29" spans="8:8" ht="13.35" customHeight="1" x14ac:dyDescent="0.25">
      <c r="H29" s="1"/>
    </row>
    <row r="30" spans="8:8" ht="13.35" customHeight="1" x14ac:dyDescent="0.25">
      <c r="H30" s="1"/>
    </row>
    <row r="31" spans="8:8" ht="13.35" customHeight="1" x14ac:dyDescent="0.25">
      <c r="H31" s="1"/>
    </row>
    <row r="32" spans="8:8" ht="13.35" customHeight="1" x14ac:dyDescent="0.25">
      <c r="H32" s="1"/>
    </row>
    <row r="33" spans="8:8" ht="13.35" customHeight="1" x14ac:dyDescent="0.25">
      <c r="H33" s="1"/>
    </row>
    <row r="34" spans="8:8" ht="13.35" customHeight="1" x14ac:dyDescent="0.25"/>
    <row r="36" spans="8:8" ht="15" customHeight="1" x14ac:dyDescent="0.25"/>
  </sheetData>
  <mergeCells count="1">
    <mergeCell ref="A1:G1"/>
  </mergeCell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selection activeCell="G7" sqref="G7"/>
    </sheetView>
  </sheetViews>
  <sheetFormatPr baseColWidth="10" defaultRowHeight="15" x14ac:dyDescent="0.25"/>
  <cols>
    <col min="1" max="1" width="9.42578125" style="10" bestFit="1" customWidth="1"/>
    <col min="2" max="2" width="27.7109375" style="10" bestFit="1" customWidth="1"/>
    <col min="3" max="3" width="10.7109375" style="10" bestFit="1" customWidth="1"/>
    <col min="4" max="4" width="8" style="29" bestFit="1" customWidth="1"/>
  </cols>
  <sheetData>
    <row r="1" spans="1:7" x14ac:dyDescent="0.25">
      <c r="A1" t="s">
        <v>1</v>
      </c>
      <c r="B1" t="s">
        <v>2</v>
      </c>
      <c r="C1" t="s">
        <v>27</v>
      </c>
      <c r="D1" s="29" t="s">
        <v>29</v>
      </c>
    </row>
    <row r="2" spans="1:7" x14ac:dyDescent="0.25">
      <c r="A2">
        <v>74</v>
      </c>
      <c r="B2" t="s">
        <v>35</v>
      </c>
      <c r="C2" t="s">
        <v>3</v>
      </c>
      <c r="D2" s="29">
        <v>26</v>
      </c>
    </row>
    <row r="3" spans="1:7" x14ac:dyDescent="0.25">
      <c r="A3">
        <v>74</v>
      </c>
      <c r="B3" t="s">
        <v>35</v>
      </c>
      <c r="C3" t="s">
        <v>4</v>
      </c>
      <c r="D3" s="29">
        <v>22</v>
      </c>
    </row>
    <row r="4" spans="1:7" x14ac:dyDescent="0.25">
      <c r="A4">
        <v>74</v>
      </c>
      <c r="B4" s="26" t="s">
        <v>35</v>
      </c>
      <c r="C4" t="s">
        <v>5</v>
      </c>
      <c r="D4" s="29">
        <v>25</v>
      </c>
    </row>
    <row r="5" spans="1:7" x14ac:dyDescent="0.25">
      <c r="A5">
        <v>74</v>
      </c>
      <c r="B5" s="26" t="s">
        <v>35</v>
      </c>
      <c r="C5" t="s">
        <v>6</v>
      </c>
      <c r="D5" s="29">
        <v>31</v>
      </c>
    </row>
    <row r="6" spans="1:7" x14ac:dyDescent="0.25">
      <c r="A6">
        <v>74</v>
      </c>
      <c r="B6" s="26" t="s">
        <v>35</v>
      </c>
      <c r="C6" t="s">
        <v>7</v>
      </c>
      <c r="D6" s="29">
        <v>47</v>
      </c>
    </row>
    <row r="7" spans="1:7" x14ac:dyDescent="0.25">
      <c r="A7">
        <v>74007</v>
      </c>
      <c r="B7" t="s">
        <v>9</v>
      </c>
      <c r="C7" t="s">
        <v>3</v>
      </c>
      <c r="D7" s="29">
        <v>28</v>
      </c>
      <c r="G7" s="39"/>
    </row>
    <row r="8" spans="1:7" x14ac:dyDescent="0.25">
      <c r="A8">
        <v>74007</v>
      </c>
      <c r="B8" t="s">
        <v>9</v>
      </c>
      <c r="C8" t="s">
        <v>4</v>
      </c>
      <c r="D8" s="29">
        <v>28</v>
      </c>
    </row>
    <row r="9" spans="1:7" x14ac:dyDescent="0.25">
      <c r="A9">
        <v>74007</v>
      </c>
      <c r="B9" t="s">
        <v>9</v>
      </c>
      <c r="C9" t="s">
        <v>5</v>
      </c>
      <c r="D9" s="29">
        <v>34</v>
      </c>
    </row>
    <row r="10" spans="1:7" x14ac:dyDescent="0.25">
      <c r="A10">
        <v>74007</v>
      </c>
      <c r="B10" t="s">
        <v>9</v>
      </c>
      <c r="C10" t="s">
        <v>6</v>
      </c>
      <c r="D10" s="29">
        <v>36</v>
      </c>
    </row>
    <row r="11" spans="1:7" x14ac:dyDescent="0.25">
      <c r="A11">
        <v>74007</v>
      </c>
      <c r="B11" t="s">
        <v>9</v>
      </c>
      <c r="C11" t="s">
        <v>7</v>
      </c>
      <c r="D11" s="29">
        <v>54</v>
      </c>
    </row>
    <row r="12" spans="1:7" x14ac:dyDescent="0.25">
      <c r="A12">
        <v>74014</v>
      </c>
      <c r="B12" t="s">
        <v>10</v>
      </c>
      <c r="C12" t="s">
        <v>3</v>
      </c>
      <c r="D12" s="29">
        <v>26</v>
      </c>
    </row>
    <row r="13" spans="1:7" x14ac:dyDescent="0.25">
      <c r="A13">
        <v>74014</v>
      </c>
      <c r="B13" t="s">
        <v>10</v>
      </c>
      <c r="C13" t="s">
        <v>4</v>
      </c>
      <c r="D13" s="29">
        <v>37</v>
      </c>
    </row>
    <row r="14" spans="1:7" x14ac:dyDescent="0.25">
      <c r="A14">
        <v>74014</v>
      </c>
      <c r="B14" t="s">
        <v>10</v>
      </c>
      <c r="C14" t="s">
        <v>5</v>
      </c>
      <c r="D14" s="29">
        <v>49</v>
      </c>
    </row>
    <row r="15" spans="1:7" x14ac:dyDescent="0.25">
      <c r="A15">
        <v>74014</v>
      </c>
      <c r="B15" t="s">
        <v>10</v>
      </c>
      <c r="C15" t="s">
        <v>6</v>
      </c>
      <c r="D15" s="29">
        <v>55</v>
      </c>
    </row>
    <row r="16" spans="1:7" x14ac:dyDescent="0.25">
      <c r="A16">
        <v>74014</v>
      </c>
      <c r="B16" t="s">
        <v>10</v>
      </c>
      <c r="C16" t="s">
        <v>7</v>
      </c>
      <c r="D16" s="29">
        <v>66</v>
      </c>
    </row>
    <row r="17" spans="1:4" x14ac:dyDescent="0.25">
      <c r="A17">
        <v>74028</v>
      </c>
      <c r="B17" t="s">
        <v>11</v>
      </c>
      <c r="C17" t="s">
        <v>3</v>
      </c>
      <c r="D17" s="29">
        <v>25</v>
      </c>
    </row>
    <row r="18" spans="1:4" x14ac:dyDescent="0.25">
      <c r="A18">
        <v>74028</v>
      </c>
      <c r="B18" t="s">
        <v>11</v>
      </c>
      <c r="C18" t="s">
        <v>4</v>
      </c>
      <c r="D18" s="29">
        <v>26</v>
      </c>
    </row>
    <row r="19" spans="1:4" x14ac:dyDescent="0.25">
      <c r="A19">
        <v>74028</v>
      </c>
      <c r="B19" t="s">
        <v>11</v>
      </c>
      <c r="C19" t="s">
        <v>5</v>
      </c>
      <c r="D19" s="29">
        <v>28</v>
      </c>
    </row>
    <row r="20" spans="1:4" x14ac:dyDescent="0.25">
      <c r="A20">
        <v>74028</v>
      </c>
      <c r="B20" t="s">
        <v>11</v>
      </c>
      <c r="C20" t="s">
        <v>6</v>
      </c>
      <c r="D20" s="29">
        <v>40</v>
      </c>
    </row>
    <row r="21" spans="1:4" x14ac:dyDescent="0.25">
      <c r="A21">
        <v>74028</v>
      </c>
      <c r="B21" t="s">
        <v>11</v>
      </c>
      <c r="C21" t="s">
        <v>7</v>
      </c>
      <c r="D21" s="29">
        <v>61</v>
      </c>
    </row>
    <row r="22" spans="1:4" x14ac:dyDescent="0.25">
      <c r="A22">
        <v>74021</v>
      </c>
      <c r="B22" t="s">
        <v>12</v>
      </c>
      <c r="C22" t="s">
        <v>3</v>
      </c>
      <c r="D22" s="29">
        <v>25</v>
      </c>
    </row>
    <row r="23" spans="1:4" x14ac:dyDescent="0.25">
      <c r="A23">
        <v>74021</v>
      </c>
      <c r="B23" t="s">
        <v>12</v>
      </c>
      <c r="C23" t="s">
        <v>4</v>
      </c>
      <c r="D23" s="29">
        <v>25</v>
      </c>
    </row>
    <row r="24" spans="1:4" x14ac:dyDescent="0.25">
      <c r="A24">
        <v>74021</v>
      </c>
      <c r="B24" t="s">
        <v>12</v>
      </c>
      <c r="C24" t="s">
        <v>5</v>
      </c>
      <c r="D24" s="29">
        <v>31</v>
      </c>
    </row>
    <row r="25" spans="1:4" x14ac:dyDescent="0.25">
      <c r="A25">
        <v>74021</v>
      </c>
      <c r="B25" t="s">
        <v>12</v>
      </c>
      <c r="C25" t="s">
        <v>6</v>
      </c>
      <c r="D25" s="29">
        <v>37</v>
      </c>
    </row>
    <row r="26" spans="1:4" x14ac:dyDescent="0.25">
      <c r="A26">
        <v>74021</v>
      </c>
      <c r="B26" t="s">
        <v>12</v>
      </c>
      <c r="C26" t="s">
        <v>7</v>
      </c>
      <c r="D26" s="29">
        <v>57</v>
      </c>
    </row>
    <row r="27" spans="1:4" x14ac:dyDescent="0.25">
      <c r="A27">
        <v>74035</v>
      </c>
      <c r="B27" t="s">
        <v>13</v>
      </c>
      <c r="C27" t="s">
        <v>3</v>
      </c>
      <c r="D27" s="29">
        <v>25</v>
      </c>
    </row>
    <row r="28" spans="1:4" x14ac:dyDescent="0.25">
      <c r="A28">
        <v>74035</v>
      </c>
      <c r="B28" t="s">
        <v>13</v>
      </c>
      <c r="C28" t="s">
        <v>4</v>
      </c>
      <c r="D28" s="29">
        <v>22</v>
      </c>
    </row>
    <row r="29" spans="1:4" x14ac:dyDescent="0.25">
      <c r="A29">
        <v>74035</v>
      </c>
      <c r="B29" t="s">
        <v>13</v>
      </c>
      <c r="C29" t="s">
        <v>5</v>
      </c>
      <c r="D29" s="29">
        <v>25</v>
      </c>
    </row>
    <row r="30" spans="1:4" x14ac:dyDescent="0.25">
      <c r="A30">
        <v>74035</v>
      </c>
      <c r="B30" t="s">
        <v>13</v>
      </c>
      <c r="C30" t="s">
        <v>6</v>
      </c>
      <c r="D30" s="29">
        <v>30</v>
      </c>
    </row>
    <row r="31" spans="1:4" x14ac:dyDescent="0.25">
      <c r="A31">
        <v>74035</v>
      </c>
      <c r="B31" t="s">
        <v>13</v>
      </c>
      <c r="C31" t="s">
        <v>7</v>
      </c>
      <c r="D31" s="29">
        <v>43</v>
      </c>
    </row>
    <row r="32" spans="1:4" x14ac:dyDescent="0.25">
      <c r="A32">
        <v>74042</v>
      </c>
      <c r="B32" t="s">
        <v>14</v>
      </c>
      <c r="C32" t="s">
        <v>3</v>
      </c>
      <c r="D32" s="29">
        <v>19</v>
      </c>
    </row>
    <row r="33" spans="1:4" x14ac:dyDescent="0.25">
      <c r="A33">
        <v>74042</v>
      </c>
      <c r="B33" t="s">
        <v>14</v>
      </c>
      <c r="C33" t="s">
        <v>4</v>
      </c>
      <c r="D33" s="29">
        <v>22</v>
      </c>
    </row>
    <row r="34" spans="1:4" x14ac:dyDescent="0.25">
      <c r="A34">
        <v>74042</v>
      </c>
      <c r="B34" t="s">
        <v>14</v>
      </c>
      <c r="C34" t="s">
        <v>5</v>
      </c>
      <c r="D34" s="29">
        <v>22</v>
      </c>
    </row>
    <row r="35" spans="1:4" x14ac:dyDescent="0.25">
      <c r="A35">
        <v>74042</v>
      </c>
      <c r="B35" t="s">
        <v>14</v>
      </c>
      <c r="C35" t="s">
        <v>6</v>
      </c>
      <c r="D35" s="29">
        <v>28</v>
      </c>
    </row>
    <row r="36" spans="1:4" x14ac:dyDescent="0.25">
      <c r="A36">
        <v>74042</v>
      </c>
      <c r="B36" t="s">
        <v>14</v>
      </c>
      <c r="C36" t="s">
        <v>7</v>
      </c>
      <c r="D36" s="29">
        <v>38</v>
      </c>
    </row>
    <row r="37" spans="1:4" x14ac:dyDescent="0.25">
      <c r="A37">
        <v>74056</v>
      </c>
      <c r="B37" t="s">
        <v>15</v>
      </c>
      <c r="C37" t="s">
        <v>3</v>
      </c>
      <c r="D37" s="29">
        <v>25</v>
      </c>
    </row>
    <row r="38" spans="1:4" x14ac:dyDescent="0.25">
      <c r="A38">
        <v>74056</v>
      </c>
      <c r="B38" t="s">
        <v>15</v>
      </c>
      <c r="C38" t="s">
        <v>4</v>
      </c>
      <c r="D38" s="29">
        <v>18</v>
      </c>
    </row>
    <row r="39" spans="1:4" x14ac:dyDescent="0.25">
      <c r="A39">
        <v>74056</v>
      </c>
      <c r="B39" t="s">
        <v>15</v>
      </c>
      <c r="C39" t="s">
        <v>5</v>
      </c>
      <c r="D39" s="29">
        <v>20</v>
      </c>
    </row>
    <row r="40" spans="1:4" x14ac:dyDescent="0.25">
      <c r="A40">
        <v>74056</v>
      </c>
      <c r="B40" t="s">
        <v>15</v>
      </c>
      <c r="C40" t="s">
        <v>6</v>
      </c>
      <c r="D40" s="29">
        <v>27</v>
      </c>
    </row>
    <row r="41" spans="1:4" x14ac:dyDescent="0.25">
      <c r="A41">
        <v>74056</v>
      </c>
      <c r="B41" t="s">
        <v>15</v>
      </c>
      <c r="C41" t="s">
        <v>7</v>
      </c>
      <c r="D41" s="29">
        <v>44</v>
      </c>
    </row>
    <row r="42" spans="1:4" x14ac:dyDescent="0.25">
      <c r="A42">
        <v>74049</v>
      </c>
      <c r="B42" t="s">
        <v>16</v>
      </c>
      <c r="C42" t="s">
        <v>3</v>
      </c>
      <c r="D42" s="29">
        <v>30</v>
      </c>
    </row>
    <row r="43" spans="1:4" x14ac:dyDescent="0.25">
      <c r="A43">
        <v>74049</v>
      </c>
      <c r="B43" t="s">
        <v>16</v>
      </c>
      <c r="C43" t="s">
        <v>4</v>
      </c>
      <c r="D43" s="29">
        <v>31</v>
      </c>
    </row>
    <row r="44" spans="1:4" x14ac:dyDescent="0.25">
      <c r="A44">
        <v>74049</v>
      </c>
      <c r="B44" t="s">
        <v>16</v>
      </c>
      <c r="C44" t="s">
        <v>5</v>
      </c>
      <c r="D44" s="29">
        <v>37</v>
      </c>
    </row>
    <row r="45" spans="1:4" x14ac:dyDescent="0.25">
      <c r="A45">
        <v>74049</v>
      </c>
      <c r="B45" t="s">
        <v>16</v>
      </c>
      <c r="C45" t="s">
        <v>6</v>
      </c>
      <c r="D45" s="29">
        <v>49</v>
      </c>
    </row>
    <row r="46" spans="1:4" x14ac:dyDescent="0.25">
      <c r="A46">
        <v>74049</v>
      </c>
      <c r="B46" t="s">
        <v>16</v>
      </c>
      <c r="C46" t="s">
        <v>7</v>
      </c>
      <c r="D46" s="29">
        <v>62</v>
      </c>
    </row>
    <row r="47" spans="1:4" x14ac:dyDescent="0.25">
      <c r="A47">
        <v>74063</v>
      </c>
      <c r="B47" t="s">
        <v>17</v>
      </c>
      <c r="C47" t="s">
        <v>3</v>
      </c>
      <c r="D47" s="29">
        <v>32</v>
      </c>
    </row>
    <row r="48" spans="1:4" x14ac:dyDescent="0.25">
      <c r="A48">
        <v>74063</v>
      </c>
      <c r="B48" t="s">
        <v>17</v>
      </c>
      <c r="C48" t="s">
        <v>4</v>
      </c>
      <c r="D48" s="29">
        <v>44</v>
      </c>
    </row>
    <row r="49" spans="1:4" x14ac:dyDescent="0.25">
      <c r="A49">
        <v>74063</v>
      </c>
      <c r="B49" t="s">
        <v>17</v>
      </c>
      <c r="C49" t="s">
        <v>5</v>
      </c>
      <c r="D49" s="29">
        <v>47</v>
      </c>
    </row>
    <row r="50" spans="1:4" x14ac:dyDescent="0.25">
      <c r="A50">
        <v>74063</v>
      </c>
      <c r="B50" t="s">
        <v>17</v>
      </c>
      <c r="C50" t="s">
        <v>6</v>
      </c>
      <c r="D50" s="29">
        <v>58</v>
      </c>
    </row>
    <row r="51" spans="1:4" x14ac:dyDescent="0.25">
      <c r="A51">
        <v>74063</v>
      </c>
      <c r="B51" t="s">
        <v>17</v>
      </c>
      <c r="C51" t="s">
        <v>7</v>
      </c>
      <c r="D51" s="29">
        <v>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showGridLines="0" zoomScale="110" zoomScaleNormal="110" workbookViewId="0">
      <selection activeCell="Q83" sqref="Q83"/>
    </sheetView>
  </sheetViews>
  <sheetFormatPr baseColWidth="10" defaultColWidth="9.140625" defaultRowHeight="15" x14ac:dyDescent="0.25"/>
  <cols>
    <col min="1" max="1" width="9.42578125" style="10" customWidth="1"/>
    <col min="2" max="2" width="32" style="10" customWidth="1"/>
    <col min="3" max="4" width="10" style="10" customWidth="1"/>
    <col min="5" max="6" width="14" style="10" customWidth="1"/>
    <col min="7" max="7" width="12" style="10" customWidth="1"/>
    <col min="8" max="8" width="15" style="10" customWidth="1"/>
    <col min="9" max="9" width="30" style="26" customWidth="1"/>
    <col min="10" max="10" width="24" bestFit="1" customWidth="1"/>
    <col min="11" max="11" width="24" style="26" bestFit="1" customWidth="1"/>
  </cols>
  <sheetData>
    <row r="1" spans="1:11" ht="26.1" customHeight="1" x14ac:dyDescent="0.25">
      <c r="A1" s="38" t="s">
        <v>18</v>
      </c>
      <c r="B1" s="38"/>
      <c r="C1" s="38"/>
      <c r="D1" s="38"/>
      <c r="E1" s="38"/>
      <c r="F1" s="38"/>
      <c r="G1" s="38"/>
      <c r="H1" s="38"/>
      <c r="I1" s="38"/>
    </row>
    <row r="2" spans="1:11" ht="14.1" customHeight="1" x14ac:dyDescent="0.25">
      <c r="A2" s="37" t="s">
        <v>19</v>
      </c>
      <c r="B2" s="34"/>
      <c r="C2" s="34"/>
      <c r="D2" s="34"/>
      <c r="E2" s="34"/>
      <c r="F2" s="34"/>
      <c r="G2" s="34"/>
      <c r="H2" s="34"/>
    </row>
    <row r="3" spans="1:11" ht="30" customHeight="1" x14ac:dyDescent="0.25">
      <c r="A3" s="43" t="s">
        <v>1</v>
      </c>
      <c r="B3" s="11" t="s">
        <v>2</v>
      </c>
      <c r="C3" s="11" t="s">
        <v>20</v>
      </c>
      <c r="D3" s="11" t="s">
        <v>21</v>
      </c>
      <c r="E3" s="12" t="s">
        <v>22</v>
      </c>
      <c r="F3" s="12" t="s">
        <v>23</v>
      </c>
      <c r="G3" s="13" t="s">
        <v>24</v>
      </c>
      <c r="H3" s="13" t="s">
        <v>25</v>
      </c>
      <c r="I3" s="40" t="s">
        <v>36</v>
      </c>
      <c r="J3" s="40" t="s">
        <v>40</v>
      </c>
      <c r="K3" s="40" t="s">
        <v>41</v>
      </c>
    </row>
    <row r="4" spans="1:11" ht="18" customHeight="1" x14ac:dyDescent="0.25">
      <c r="A4" s="45">
        <f>'Datos base'!A12</f>
        <v>74063</v>
      </c>
      <c r="B4" s="19" t="str">
        <f>'Datos base'!B12</f>
        <v>Libertador General San Martín</v>
      </c>
      <c r="C4" s="18">
        <v>58</v>
      </c>
      <c r="D4" s="18">
        <v>85</v>
      </c>
      <c r="E4" s="20">
        <f>D4-C4</f>
        <v>27</v>
      </c>
      <c r="F4" s="21">
        <f>IFERROR((D4-C4)/C4*100,"")</f>
        <v>46.551724137931032</v>
      </c>
      <c r="G4" s="18">
        <f>RANK(D4,$D$4:$D$12,0)</f>
        <v>1</v>
      </c>
      <c r="H4" s="18">
        <f>RANK(E4,$E$4:$E$12,0)</f>
        <v>1</v>
      </c>
      <c r="I4" s="42">
        <f>47</f>
        <v>47</v>
      </c>
      <c r="J4" s="42">
        <f>IF(D4 &gt; 47, D4, NA())</f>
        <v>85</v>
      </c>
      <c r="K4" s="48" t="e">
        <f>IF(D4&lt;47,D4,NA())</f>
        <v>#N/A</v>
      </c>
    </row>
    <row r="5" spans="1:11" ht="18" customHeight="1" x14ac:dyDescent="0.25">
      <c r="A5" s="46">
        <f>'Datos base'!A5</f>
        <v>74014</v>
      </c>
      <c r="B5" s="23" t="str">
        <f>'Datos base'!B5</f>
        <v>Belgrano</v>
      </c>
      <c r="C5" s="22">
        <v>55</v>
      </c>
      <c r="D5" s="22">
        <v>66</v>
      </c>
      <c r="E5" s="24">
        <f>D5-C5</f>
        <v>11</v>
      </c>
      <c r="F5" s="25">
        <f>IFERROR((D5-C5)/C5*100,"")</f>
        <v>20</v>
      </c>
      <c r="G5" s="22">
        <f>RANK(D5,$D$4:$D$12,0)</f>
        <v>2</v>
      </c>
      <c r="H5" s="22">
        <f>RANK(E5,$E$4:$E$12,0)</f>
        <v>8</v>
      </c>
      <c r="I5" s="42">
        <f>47</f>
        <v>47</v>
      </c>
      <c r="J5" s="42">
        <f>IF(D5 &gt; 47, D5, NA())</f>
        <v>66</v>
      </c>
      <c r="K5" s="48" t="e">
        <f t="shared" ref="K5:K12" si="0">IF(D5&lt;47,D5,NA())</f>
        <v>#N/A</v>
      </c>
    </row>
    <row r="6" spans="1:11" ht="18" customHeight="1" x14ac:dyDescent="0.25">
      <c r="A6" s="46">
        <f>'Datos base'!A11</f>
        <v>74049</v>
      </c>
      <c r="B6" s="23" t="str">
        <f>'Datos base'!B11</f>
        <v>Junín</v>
      </c>
      <c r="C6" s="22">
        <v>49</v>
      </c>
      <c r="D6" s="22">
        <v>62</v>
      </c>
      <c r="E6" s="24">
        <f>D6-C6</f>
        <v>13</v>
      </c>
      <c r="F6" s="25">
        <f>IFERROR((D6-C6)/C6*100,"")</f>
        <v>26.530612244897959</v>
      </c>
      <c r="G6" s="22">
        <f>RANK(D6,$D$4:$D$12,0)</f>
        <v>3</v>
      </c>
      <c r="H6" s="22">
        <f>RANK(E6,$E$4:$E$12,0)</f>
        <v>6</v>
      </c>
      <c r="I6" s="42">
        <f>47</f>
        <v>47</v>
      </c>
      <c r="J6" s="42">
        <f>IF(D6 &gt; 47, D6, NA())</f>
        <v>62</v>
      </c>
      <c r="K6" s="48" t="e">
        <f t="shared" si="0"/>
        <v>#N/A</v>
      </c>
    </row>
    <row r="7" spans="1:11" ht="18" customHeight="1" x14ac:dyDescent="0.25">
      <c r="A7" s="45">
        <f>'Datos base'!A6</f>
        <v>74028</v>
      </c>
      <c r="B7" s="19" t="str">
        <f>'Datos base'!B6</f>
        <v>Chacabuco</v>
      </c>
      <c r="C7" s="18">
        <v>40</v>
      </c>
      <c r="D7" s="18">
        <v>61</v>
      </c>
      <c r="E7" s="20">
        <f>D7-C7</f>
        <v>21</v>
      </c>
      <c r="F7" s="21">
        <f>IFERROR((D7-C7)/C7*100,"")</f>
        <v>52.5</v>
      </c>
      <c r="G7" s="18">
        <f>RANK(D7,$D$4:$D$12,0)</f>
        <v>4</v>
      </c>
      <c r="H7" s="18">
        <f>RANK(E7,$E$4:$E$12,0)</f>
        <v>2</v>
      </c>
      <c r="I7" s="42">
        <f>47</f>
        <v>47</v>
      </c>
      <c r="J7" s="42">
        <f>IF(D7 &gt; 47, D7, NA())</f>
        <v>61</v>
      </c>
      <c r="K7" s="48" t="e">
        <f t="shared" si="0"/>
        <v>#N/A</v>
      </c>
    </row>
    <row r="8" spans="1:11" ht="18" customHeight="1" x14ac:dyDescent="0.25">
      <c r="A8" s="46">
        <f>'Datos base'!A7</f>
        <v>74021</v>
      </c>
      <c r="B8" s="23" t="str">
        <f>'Datos base'!B7</f>
        <v>Coronel Pringles</v>
      </c>
      <c r="C8" s="22">
        <v>37</v>
      </c>
      <c r="D8" s="22">
        <v>57</v>
      </c>
      <c r="E8" s="24">
        <f>D8-C8</f>
        <v>20</v>
      </c>
      <c r="F8" s="25">
        <f>IFERROR((D8-C8)/C8*100,"")</f>
        <v>54.054054054054056</v>
      </c>
      <c r="G8" s="22">
        <f>RANK(D8,$D$4:$D$12,0)</f>
        <v>5</v>
      </c>
      <c r="H8" s="22">
        <f>RANK(E8,$E$4:$E$12,0)</f>
        <v>3</v>
      </c>
      <c r="I8" s="42">
        <f>47</f>
        <v>47</v>
      </c>
      <c r="J8" s="42">
        <f>IF(D8 &gt; 47, D8, NA())</f>
        <v>57</v>
      </c>
      <c r="K8" s="48" t="e">
        <f t="shared" si="0"/>
        <v>#N/A</v>
      </c>
    </row>
    <row r="9" spans="1:11" ht="18" customHeight="1" x14ac:dyDescent="0.25">
      <c r="A9" s="45">
        <f>'Datos base'!A4</f>
        <v>74007</v>
      </c>
      <c r="B9" s="19" t="str">
        <f>'Datos base'!B4</f>
        <v>Ayacucho</v>
      </c>
      <c r="C9" s="18">
        <v>36</v>
      </c>
      <c r="D9" s="18">
        <v>54</v>
      </c>
      <c r="E9" s="20">
        <f>D9-C9</f>
        <v>18</v>
      </c>
      <c r="F9" s="21">
        <f>IFERROR((D9-C9)/C9*100,"")</f>
        <v>50</v>
      </c>
      <c r="G9" s="18">
        <f>RANK(D9,$D$4:$D$12,0)</f>
        <v>6</v>
      </c>
      <c r="H9" s="18">
        <f>RANK(E9,$E$4:$E$12,0)</f>
        <v>4</v>
      </c>
      <c r="I9" s="42">
        <f>47</f>
        <v>47</v>
      </c>
      <c r="J9" s="42">
        <f>IF(D9 &gt; 47, D9, NA())</f>
        <v>54</v>
      </c>
      <c r="K9" s="48" t="e">
        <f t="shared" si="0"/>
        <v>#N/A</v>
      </c>
    </row>
    <row r="10" spans="1:11" ht="18" customHeight="1" x14ac:dyDescent="0.25">
      <c r="A10" s="45">
        <f>'Datos base'!A10</f>
        <v>74056</v>
      </c>
      <c r="B10" s="19" t="str">
        <f>'Datos base'!B10</f>
        <v>Juan Martín de Pueyrredón</v>
      </c>
      <c r="C10" s="18">
        <v>27</v>
      </c>
      <c r="D10" s="18">
        <v>44</v>
      </c>
      <c r="E10" s="20">
        <f>D10-C10</f>
        <v>17</v>
      </c>
      <c r="F10" s="21">
        <f>IFERROR((D10-C10)/C10*100,"")</f>
        <v>62.962962962962962</v>
      </c>
      <c r="G10" s="18">
        <f>RANK(D10,$D$4:$D$12,0)</f>
        <v>7</v>
      </c>
      <c r="H10" s="18">
        <f>RANK(E10,$E$4:$E$12,0)</f>
        <v>5</v>
      </c>
      <c r="I10" s="42">
        <f>47</f>
        <v>47</v>
      </c>
      <c r="J10" s="42" t="e">
        <f>IF(D10 &gt; 47, D10, NA())</f>
        <v>#N/A</v>
      </c>
      <c r="K10" s="48">
        <f t="shared" si="0"/>
        <v>44</v>
      </c>
    </row>
    <row r="11" spans="1:11" ht="18" customHeight="1" x14ac:dyDescent="0.25">
      <c r="A11" s="45">
        <f>'Datos base'!A8</f>
        <v>74035</v>
      </c>
      <c r="B11" s="19" t="str">
        <f>'Datos base'!B8</f>
        <v>General Pedernera</v>
      </c>
      <c r="C11" s="18">
        <v>30</v>
      </c>
      <c r="D11" s="18">
        <v>43</v>
      </c>
      <c r="E11" s="20">
        <f>D11-C11</f>
        <v>13</v>
      </c>
      <c r="F11" s="21">
        <f>IFERROR((D11-C11)/C11*100,"")</f>
        <v>43.333333333333336</v>
      </c>
      <c r="G11" s="18">
        <f>RANK(D11,$D$4:$D$12,0)</f>
        <v>8</v>
      </c>
      <c r="H11" s="18">
        <f>RANK(E11,$E$4:$E$12,0)</f>
        <v>6</v>
      </c>
      <c r="I11" s="42">
        <f>47</f>
        <v>47</v>
      </c>
      <c r="J11" s="42" t="e">
        <f>IF(D11 &gt; 47, D11, NA())</f>
        <v>#N/A</v>
      </c>
      <c r="K11" s="48">
        <f t="shared" si="0"/>
        <v>43</v>
      </c>
    </row>
    <row r="12" spans="1:11" ht="18" customHeight="1" x14ac:dyDescent="0.25">
      <c r="A12" s="46">
        <f>'Datos base'!A9</f>
        <v>74042</v>
      </c>
      <c r="B12" s="23" t="str">
        <f>'Datos base'!B9</f>
        <v>Gobernador Dupuy</v>
      </c>
      <c r="C12" s="22">
        <v>28</v>
      </c>
      <c r="D12" s="22">
        <v>38</v>
      </c>
      <c r="E12" s="24">
        <f>D12-C12</f>
        <v>10</v>
      </c>
      <c r="F12" s="25">
        <f>IFERROR((D12-C12)/C12*100,"")</f>
        <v>35.714285714285715</v>
      </c>
      <c r="G12" s="22">
        <f>RANK(D12,$D$4:$D$12,0)</f>
        <v>9</v>
      </c>
      <c r="H12" s="22">
        <f>RANK(E12,$E$4:$E$12,0)</f>
        <v>9</v>
      </c>
      <c r="I12" s="42">
        <f>47</f>
        <v>47</v>
      </c>
      <c r="J12" s="42" t="e">
        <f>IF(D12 &gt; 47, D12, NA())</f>
        <v>#N/A</v>
      </c>
      <c r="K12" s="48">
        <f t="shared" si="0"/>
        <v>38</v>
      </c>
    </row>
    <row r="13" spans="1:11" ht="18" customHeight="1" x14ac:dyDescent="0.25">
      <c r="A13" s="44">
        <f>'Datos base'!A3</f>
        <v>74</v>
      </c>
      <c r="B13" s="15" t="str">
        <f>'Datos base'!B3</f>
        <v>Total</v>
      </c>
      <c r="C13" s="14">
        <f>'Datos base'!F3</f>
        <v>31</v>
      </c>
      <c r="D13" s="14">
        <f>'Datos base'!G3</f>
        <v>47</v>
      </c>
      <c r="E13" s="16">
        <f>D13-C13</f>
        <v>16</v>
      </c>
      <c r="F13" s="17">
        <f>IFERROR((D13-C13)/C13*100,"")</f>
        <v>51.612903225806448</v>
      </c>
      <c r="G13" s="14" t="s">
        <v>26</v>
      </c>
      <c r="H13" s="14" t="s">
        <v>26</v>
      </c>
      <c r="I13" s="41"/>
      <c r="J13" s="41"/>
      <c r="K13" s="49"/>
    </row>
    <row r="15" spans="1:11" s="28" customFormat="1" ht="17.25" customHeight="1" x14ac:dyDescent="0.2">
      <c r="A15" s="35" t="s">
        <v>28</v>
      </c>
      <c r="B15" s="36"/>
      <c r="C15" s="36"/>
      <c r="D15" s="36"/>
      <c r="E15" s="36"/>
      <c r="F15" s="36"/>
      <c r="G15" s="36"/>
      <c r="H15" s="36"/>
      <c r="I15" s="27"/>
    </row>
  </sheetData>
  <autoFilter ref="K3:K12" xr:uid="{57AE25C4-22EA-4A4B-BA2F-CB447FA0147B}"/>
  <mergeCells count="3">
    <mergeCell ref="A15:H15"/>
    <mergeCell ref="A2:H2"/>
    <mergeCell ref="A1:I1"/>
  </mergeCells>
  <conditionalFormatting sqref="D4:D12">
    <cfRule type="colorScale" priority="1">
      <colorScale>
        <cfvo type="min"/>
        <cfvo type="percentile" val="50"/>
        <cfvo type="max"/>
        <color rgb="FF92D050"/>
        <color rgb="FFFFEB84"/>
        <color rgb="FFFF0000"/>
      </colorScale>
    </cfRule>
  </conditionalFormatting>
  <conditionalFormatting sqref="F4:F12">
    <cfRule type="colorScale" priority="2">
      <colorScale>
        <cfvo type="min"/>
        <cfvo type="max"/>
        <color rgb="FFFFFFFF"/>
        <color rgb="FF2E6DA4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844D-1525-4297-AA15-AD6A07CD63FF}">
  <dimension ref="A3:L30"/>
  <sheetViews>
    <sheetView zoomScaleNormal="100" workbookViewId="0">
      <selection activeCell="B46" sqref="B46"/>
    </sheetView>
  </sheetViews>
  <sheetFormatPr baseColWidth="10" defaultRowHeight="15" x14ac:dyDescent="0.25"/>
  <cols>
    <col min="1" max="1" width="27.7109375" bestFit="1" customWidth="1"/>
    <col min="2" max="2" width="22.42578125" bestFit="1" customWidth="1"/>
    <col min="3" max="6" width="5" bestFit="1" customWidth="1"/>
    <col min="7" max="7" width="12.5703125" bestFit="1" customWidth="1"/>
    <col min="8" max="8" width="25.28515625" bestFit="1" customWidth="1"/>
    <col min="9" max="9" width="5.7109375" bestFit="1" customWidth="1"/>
    <col min="10" max="10" width="28.140625" bestFit="1" customWidth="1"/>
    <col min="11" max="11" width="14.5703125" bestFit="1" customWidth="1"/>
    <col min="12" max="12" width="12.5703125" bestFit="1" customWidth="1"/>
  </cols>
  <sheetData>
    <row r="3" spans="1:12" x14ac:dyDescent="0.25">
      <c r="A3" s="30" t="s">
        <v>34</v>
      </c>
      <c r="B3" s="30" t="s">
        <v>32</v>
      </c>
    </row>
    <row r="4" spans="1:12" x14ac:dyDescent="0.25">
      <c r="A4" s="30" t="s">
        <v>30</v>
      </c>
      <c r="B4" s="26" t="s">
        <v>9</v>
      </c>
      <c r="C4" s="26" t="s">
        <v>10</v>
      </c>
      <c r="D4" s="26" t="s">
        <v>11</v>
      </c>
      <c r="E4" s="26" t="s">
        <v>12</v>
      </c>
      <c r="F4" s="26" t="s">
        <v>13</v>
      </c>
      <c r="G4" s="26" t="s">
        <v>14</v>
      </c>
      <c r="H4" s="26" t="s">
        <v>15</v>
      </c>
      <c r="I4" s="26" t="s">
        <v>16</v>
      </c>
      <c r="J4" s="26" t="s">
        <v>17</v>
      </c>
      <c r="K4" s="26" t="s">
        <v>35</v>
      </c>
      <c r="L4" s="26" t="s">
        <v>31</v>
      </c>
    </row>
    <row r="5" spans="1:12" x14ac:dyDescent="0.25">
      <c r="A5" s="31" t="s">
        <v>3</v>
      </c>
      <c r="B5" s="32">
        <v>28</v>
      </c>
      <c r="C5" s="32">
        <v>26</v>
      </c>
      <c r="D5" s="32">
        <v>25</v>
      </c>
      <c r="E5" s="32">
        <v>25</v>
      </c>
      <c r="F5" s="32">
        <v>25</v>
      </c>
      <c r="G5" s="32">
        <v>19</v>
      </c>
      <c r="H5" s="32">
        <v>25</v>
      </c>
      <c r="I5" s="32">
        <v>30</v>
      </c>
      <c r="J5" s="32">
        <v>32</v>
      </c>
      <c r="K5" s="32">
        <v>26</v>
      </c>
      <c r="L5" s="32">
        <v>26.1</v>
      </c>
    </row>
    <row r="6" spans="1:12" x14ac:dyDescent="0.25">
      <c r="A6" s="31" t="s">
        <v>4</v>
      </c>
      <c r="B6" s="32">
        <v>28</v>
      </c>
      <c r="C6" s="32">
        <v>37</v>
      </c>
      <c r="D6" s="32">
        <v>26</v>
      </c>
      <c r="E6" s="32">
        <v>25</v>
      </c>
      <c r="F6" s="32">
        <v>22</v>
      </c>
      <c r="G6" s="32">
        <v>22</v>
      </c>
      <c r="H6" s="32">
        <v>18</v>
      </c>
      <c r="I6" s="32">
        <v>31</v>
      </c>
      <c r="J6" s="32">
        <v>44</v>
      </c>
      <c r="K6" s="32">
        <v>22</v>
      </c>
      <c r="L6" s="32">
        <v>27.5</v>
      </c>
    </row>
    <row r="7" spans="1:12" x14ac:dyDescent="0.25">
      <c r="A7" s="31" t="s">
        <v>5</v>
      </c>
      <c r="B7" s="32">
        <v>34</v>
      </c>
      <c r="C7" s="32">
        <v>49</v>
      </c>
      <c r="D7" s="32">
        <v>28</v>
      </c>
      <c r="E7" s="32">
        <v>31</v>
      </c>
      <c r="F7" s="32">
        <v>25</v>
      </c>
      <c r="G7" s="32">
        <v>22</v>
      </c>
      <c r="H7" s="32">
        <v>20</v>
      </c>
      <c r="I7" s="32">
        <v>37</v>
      </c>
      <c r="J7" s="32">
        <v>47</v>
      </c>
      <c r="K7" s="32">
        <v>25</v>
      </c>
      <c r="L7" s="32">
        <v>31.8</v>
      </c>
    </row>
    <row r="8" spans="1:12" x14ac:dyDescent="0.25">
      <c r="A8" s="31" t="s">
        <v>6</v>
      </c>
      <c r="B8" s="32">
        <v>36</v>
      </c>
      <c r="C8" s="32">
        <v>55</v>
      </c>
      <c r="D8" s="32">
        <v>40</v>
      </c>
      <c r="E8" s="32">
        <v>37</v>
      </c>
      <c r="F8" s="32">
        <v>30</v>
      </c>
      <c r="G8" s="32">
        <v>28</v>
      </c>
      <c r="H8" s="32">
        <v>27</v>
      </c>
      <c r="I8" s="32">
        <v>49</v>
      </c>
      <c r="J8" s="32">
        <v>58</v>
      </c>
      <c r="K8" s="32">
        <v>31</v>
      </c>
      <c r="L8" s="32">
        <v>39.1</v>
      </c>
    </row>
    <row r="9" spans="1:12" x14ac:dyDescent="0.25">
      <c r="A9" s="31" t="s">
        <v>7</v>
      </c>
      <c r="B9" s="32">
        <v>54</v>
      </c>
      <c r="C9" s="32">
        <v>66</v>
      </c>
      <c r="D9" s="32">
        <v>61</v>
      </c>
      <c r="E9" s="32">
        <v>57</v>
      </c>
      <c r="F9" s="32">
        <v>43</v>
      </c>
      <c r="G9" s="32">
        <v>38</v>
      </c>
      <c r="H9" s="32">
        <v>44</v>
      </c>
      <c r="I9" s="32">
        <v>62</v>
      </c>
      <c r="J9" s="32">
        <v>85</v>
      </c>
      <c r="K9" s="32">
        <v>47</v>
      </c>
      <c r="L9" s="32">
        <v>55.7</v>
      </c>
    </row>
    <row r="10" spans="1:12" x14ac:dyDescent="0.25">
      <c r="A10" s="31" t="s">
        <v>31</v>
      </c>
      <c r="B10" s="32">
        <v>36</v>
      </c>
      <c r="C10" s="32">
        <v>46.6</v>
      </c>
      <c r="D10" s="32">
        <v>36</v>
      </c>
      <c r="E10" s="32">
        <v>35</v>
      </c>
      <c r="F10" s="32">
        <v>29</v>
      </c>
      <c r="G10" s="32">
        <v>25.8</v>
      </c>
      <c r="H10" s="32">
        <v>26.8</v>
      </c>
      <c r="I10" s="32">
        <v>41.8</v>
      </c>
      <c r="J10" s="32">
        <v>53.2</v>
      </c>
      <c r="K10" s="32">
        <v>30.2</v>
      </c>
      <c r="L10" s="32">
        <v>36.04</v>
      </c>
    </row>
    <row r="18" spans="1:7" x14ac:dyDescent="0.25">
      <c r="A18" s="30" t="s">
        <v>33</v>
      </c>
      <c r="B18" s="30" t="s">
        <v>32</v>
      </c>
    </row>
    <row r="19" spans="1:7" x14ac:dyDescent="0.25">
      <c r="A19" s="30" t="s">
        <v>30</v>
      </c>
      <c r="B19" s="26" t="s">
        <v>3</v>
      </c>
      <c r="C19" s="26" t="s">
        <v>4</v>
      </c>
      <c r="D19" s="26" t="s">
        <v>5</v>
      </c>
      <c r="E19" s="26" t="s">
        <v>6</v>
      </c>
      <c r="F19" s="26" t="s">
        <v>7</v>
      </c>
      <c r="G19" s="26" t="s">
        <v>31</v>
      </c>
    </row>
    <row r="20" spans="1:7" x14ac:dyDescent="0.25">
      <c r="A20" s="31" t="s">
        <v>9</v>
      </c>
      <c r="B20" s="32"/>
      <c r="C20" s="32">
        <v>0</v>
      </c>
      <c r="D20" s="32">
        <v>6</v>
      </c>
      <c r="E20" s="32">
        <v>2</v>
      </c>
      <c r="F20" s="32">
        <v>18</v>
      </c>
      <c r="G20" s="32"/>
    </row>
    <row r="21" spans="1:7" x14ac:dyDescent="0.25">
      <c r="A21" s="31" t="s">
        <v>10</v>
      </c>
      <c r="B21" s="32"/>
      <c r="C21" s="32">
        <v>11</v>
      </c>
      <c r="D21" s="32">
        <v>12</v>
      </c>
      <c r="E21" s="32">
        <v>6</v>
      </c>
      <c r="F21" s="32">
        <v>11</v>
      </c>
      <c r="G21" s="32"/>
    </row>
    <row r="22" spans="1:7" x14ac:dyDescent="0.25">
      <c r="A22" s="31" t="s">
        <v>11</v>
      </c>
      <c r="B22" s="32"/>
      <c r="C22" s="32">
        <v>1</v>
      </c>
      <c r="D22" s="32">
        <v>2</v>
      </c>
      <c r="E22" s="32">
        <v>12</v>
      </c>
      <c r="F22" s="32">
        <v>21</v>
      </c>
      <c r="G22" s="32"/>
    </row>
    <row r="23" spans="1:7" x14ac:dyDescent="0.25">
      <c r="A23" s="31" t="s">
        <v>12</v>
      </c>
      <c r="B23" s="32"/>
      <c r="C23" s="32">
        <v>0</v>
      </c>
      <c r="D23" s="32">
        <v>6</v>
      </c>
      <c r="E23" s="32">
        <v>6</v>
      </c>
      <c r="F23" s="32">
        <v>20</v>
      </c>
      <c r="G23" s="32"/>
    </row>
    <row r="24" spans="1:7" x14ac:dyDescent="0.25">
      <c r="A24" s="31" t="s">
        <v>13</v>
      </c>
      <c r="B24" s="32"/>
      <c r="C24" s="32">
        <v>-3</v>
      </c>
      <c r="D24" s="32">
        <v>3</v>
      </c>
      <c r="E24" s="32">
        <v>5</v>
      </c>
      <c r="F24" s="32">
        <v>13</v>
      </c>
      <c r="G24" s="32"/>
    </row>
    <row r="25" spans="1:7" x14ac:dyDescent="0.25">
      <c r="A25" s="31" t="s">
        <v>14</v>
      </c>
      <c r="B25" s="32"/>
      <c r="C25" s="32">
        <v>3</v>
      </c>
      <c r="D25" s="32">
        <v>0</v>
      </c>
      <c r="E25" s="32">
        <v>6</v>
      </c>
      <c r="F25" s="32">
        <v>10</v>
      </c>
      <c r="G25" s="32"/>
    </row>
    <row r="26" spans="1:7" x14ac:dyDescent="0.25">
      <c r="A26" s="31" t="s">
        <v>15</v>
      </c>
      <c r="B26" s="32"/>
      <c r="C26" s="32">
        <v>-7</v>
      </c>
      <c r="D26" s="32">
        <v>2</v>
      </c>
      <c r="E26" s="32">
        <v>7</v>
      </c>
      <c r="F26" s="32">
        <v>17</v>
      </c>
      <c r="G26" s="32"/>
    </row>
    <row r="27" spans="1:7" x14ac:dyDescent="0.25">
      <c r="A27" s="31" t="s">
        <v>16</v>
      </c>
      <c r="B27" s="32"/>
      <c r="C27" s="32">
        <v>1</v>
      </c>
      <c r="D27" s="32">
        <v>6</v>
      </c>
      <c r="E27" s="32">
        <v>12</v>
      </c>
      <c r="F27" s="32">
        <v>13</v>
      </c>
      <c r="G27" s="32"/>
    </row>
    <row r="28" spans="1:7" x14ac:dyDescent="0.25">
      <c r="A28" s="31" t="s">
        <v>17</v>
      </c>
      <c r="B28" s="32"/>
      <c r="C28" s="32">
        <v>12</v>
      </c>
      <c r="D28" s="32">
        <v>3</v>
      </c>
      <c r="E28" s="32">
        <v>11</v>
      </c>
      <c r="F28" s="32">
        <v>27</v>
      </c>
      <c r="G28" s="32"/>
    </row>
    <row r="29" spans="1:7" x14ac:dyDescent="0.25">
      <c r="A29" s="31" t="s">
        <v>35</v>
      </c>
      <c r="B29" s="32"/>
      <c r="C29" s="32">
        <v>-4</v>
      </c>
      <c r="D29" s="32">
        <v>3</v>
      </c>
      <c r="E29" s="32">
        <v>6</v>
      </c>
      <c r="F29" s="32">
        <v>16</v>
      </c>
      <c r="G29" s="32"/>
    </row>
    <row r="30" spans="1:7" x14ac:dyDescent="0.25">
      <c r="A30" s="31" t="s">
        <v>31</v>
      </c>
      <c r="B30" s="32"/>
      <c r="C30" s="32">
        <v>14</v>
      </c>
      <c r="D30" s="32">
        <v>43</v>
      </c>
      <c r="E30" s="32">
        <v>73</v>
      </c>
      <c r="F30" s="32">
        <v>166</v>
      </c>
      <c r="G30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0EB15-B121-4512-8C2D-A926C7A4686F}">
  <sheetPr>
    <pageSetUpPr autoPageBreaks="0"/>
  </sheetPr>
  <dimension ref="A1:U65"/>
  <sheetViews>
    <sheetView showGridLines="0" tabSelected="1" topLeftCell="A4" zoomScaleNormal="100" workbookViewId="0">
      <selection activeCell="K65" sqref="K65"/>
    </sheetView>
  </sheetViews>
  <sheetFormatPr baseColWidth="10" defaultRowHeight="15" x14ac:dyDescent="0.25"/>
  <cols>
    <col min="1" max="1" width="13.42578125" style="26" customWidth="1"/>
    <col min="2" max="2" width="12.140625" style="26" customWidth="1"/>
    <col min="3" max="17" width="11.42578125" style="26"/>
    <col min="18" max="18" width="11.42578125" style="26" customWidth="1"/>
  </cols>
  <sheetData>
    <row r="1" spans="1:18" ht="23.25" customHeight="1" x14ac:dyDescent="0.25">
      <c r="A1"/>
      <c r="B1"/>
      <c r="C1"/>
      <c r="D1" s="50"/>
      <c r="E1" s="50"/>
      <c r="F1" s="50"/>
      <c r="G1" s="50"/>
      <c r="H1" s="50"/>
      <c r="Q1" s="50"/>
      <c r="R1" s="50"/>
    </row>
    <row r="2" spans="1:18" s="26" customFormat="1" ht="37.5" customHeight="1" x14ac:dyDescent="0.25">
      <c r="A2"/>
      <c r="B2"/>
      <c r="C2"/>
      <c r="D2" s="51"/>
      <c r="E2" s="51"/>
      <c r="F2" s="51"/>
      <c r="G2" s="51"/>
      <c r="H2" s="51"/>
      <c r="I2" s="53" t="s">
        <v>42</v>
      </c>
      <c r="J2" s="53"/>
      <c r="K2" s="53"/>
      <c r="L2" s="53"/>
      <c r="M2" s="53"/>
      <c r="N2" s="53"/>
      <c r="O2" s="53"/>
      <c r="P2" s="56"/>
      <c r="Q2" s="51"/>
      <c r="R2" s="51"/>
    </row>
    <row r="3" spans="1:18" ht="23.25" customHeight="1" x14ac:dyDescent="0.25">
      <c r="A3"/>
      <c r="B3"/>
      <c r="C3"/>
      <c r="I3" s="54" t="s">
        <v>43</v>
      </c>
      <c r="J3" s="54"/>
      <c r="K3" s="54"/>
      <c r="L3" s="54"/>
      <c r="M3" s="54"/>
      <c r="N3" s="54"/>
      <c r="O3" s="54"/>
      <c r="P3" s="55"/>
    </row>
    <row r="4" spans="1:18" x14ac:dyDescent="0.25">
      <c r="A4"/>
      <c r="B4"/>
      <c r="C4"/>
    </row>
    <row r="5" spans="1:18" x14ac:dyDescent="0.25">
      <c r="A5"/>
      <c r="B5"/>
      <c r="C5"/>
    </row>
    <row r="6" spans="1:18" x14ac:dyDescent="0.25">
      <c r="A6"/>
      <c r="B6"/>
      <c r="C6"/>
    </row>
    <row r="7" spans="1:18" x14ac:dyDescent="0.25">
      <c r="A7" s="52"/>
      <c r="B7" s="52"/>
    </row>
    <row r="8" spans="1:18" x14ac:dyDescent="0.25">
      <c r="A8" s="52"/>
      <c r="B8" s="52"/>
    </row>
    <row r="9" spans="1:18" x14ac:dyDescent="0.25">
      <c r="A9" s="52"/>
      <c r="B9" s="52"/>
    </row>
    <row r="29" spans="21:21" x14ac:dyDescent="0.25">
      <c r="U29" s="39"/>
    </row>
    <row r="54" spans="9:18" ht="30" customHeight="1" x14ac:dyDescent="0.25">
      <c r="J54" s="57"/>
      <c r="K54" s="57"/>
      <c r="L54" s="57"/>
      <c r="M54" s="57"/>
      <c r="N54" s="57"/>
      <c r="O54" s="57"/>
      <c r="P54" s="47"/>
      <c r="Q54" s="47"/>
      <c r="R54" s="47"/>
    </row>
    <row r="55" spans="9:18" x14ac:dyDescent="0.25">
      <c r="I55" s="47"/>
      <c r="J55" s="47"/>
      <c r="K55" s="47"/>
      <c r="L55" s="47"/>
      <c r="M55" s="47"/>
      <c r="N55" s="47"/>
      <c r="O55" s="47"/>
      <c r="P55" s="47"/>
      <c r="Q55" s="47"/>
      <c r="R55" s="47"/>
    </row>
    <row r="65" spans="4:10" ht="20.25" customHeight="1" x14ac:dyDescent="0.25">
      <c r="D65" s="58" t="s">
        <v>44</v>
      </c>
      <c r="E65" s="58"/>
      <c r="F65" s="58"/>
      <c r="G65" s="58"/>
      <c r="H65" s="58"/>
      <c r="I65" s="58"/>
      <c r="J65" s="58"/>
    </row>
  </sheetData>
  <mergeCells count="3">
    <mergeCell ref="D65:J65"/>
    <mergeCell ref="I2:O2"/>
    <mergeCell ref="I3:O3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4D8FAB-CC91-49D6-917B-07E0CC905C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 base</vt:lpstr>
      <vt:lpstr>Datos largo</vt:lpstr>
      <vt:lpstr>Indicadores</vt:lpstr>
      <vt:lpstr>TD Evolución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Gonzalia Rodrigo</dc:creator>
  <cp:lastModifiedBy>W11PRO</cp:lastModifiedBy>
  <dcterms:created xsi:type="dcterms:W3CDTF">2023-11-13T14:18:13Z</dcterms:created>
  <dcterms:modified xsi:type="dcterms:W3CDTF">2026-03-15T14:54:25Z</dcterms:modified>
</cp:coreProperties>
</file>